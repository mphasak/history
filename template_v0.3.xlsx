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apters" sheetId="2" state="visible" r:id="rId4"/>
    <sheet name="Traits" sheetId="3" state="visible" r:id="rId5"/>
    <sheet name="TraitRelations" sheetId="4" state="visible" r:id="rId6"/>
    <sheet name="Carriers" sheetId="5" state="visible" r:id="rId7"/>
    <sheet name="CarrierTraitMix" sheetId="6" state="visible" r:id="rId8"/>
    <sheet name="TraitObservations" sheetId="7" state="visible" r:id="rId9"/>
    <sheet name="PropagationEvents" sheetId="8" state="visible" r:id="rId10"/>
    <sheet name="PhysicalFeatures" sheetId="9" state="visible" r:id="rId11"/>
    <sheet name="PaleoclimateStates" sheetId="10" state="visible" r:id="rId12"/>
    <sheet name="Sources" sheetId="11" state="visible" r:id="rId13"/>
    <sheet name="Claims" sheetId="12" state="visible" r:id="rId14"/>
    <sheet name="Perspectives" sheetId="13" state="visible" r:id="rId15"/>
    <sheet name="PerspectiveEndorsements" sheetId="14" state="visible" r:id="rId16"/>
    <sheet name="Geographies" sheetId="15" state="visible" r:id="rId17"/>
    <sheet name="ID Conventions" sheetId="16" state="visible" r:id="rId18"/>
    <sheet name="Confidence Scale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genetic | technological | linguistic | religious | ideological | artistic | institutional | material_culture | other</t>
        </r>
      </text>
    </comment>
    <comment ref="J1" authorId="0">
      <text>
        <r>
          <rPr>
            <sz val="10"/>
            <rFont val="Arial"/>
            <family val="2"/>
          </rPr>
          <t xml:space="preserve">For genetic: defining ancient DNA samples. For tech: archaeological exemplars. For ideological/religious: canonical texts, founding figures, institutions.</t>
        </r>
      </text>
    </comment>
    <comment ref="N1" authorId="0">
      <text>
        <r>
          <rPr>
            <sz val="10"/>
            <rFont val="Arial"/>
            <family val="2"/>
          </rPr>
          <t xml:space="preserve">TRUE if the lineage of this trait is contested across major Perspectives.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descends_from | admixture_of | sister_of | derived_from | influenced_by | reaction_against | syncretism_of | revival_of</t>
        </r>
      </text>
    </comment>
    <comment ref="E1" authorId="0">
      <text>
        <r>
          <rPr>
            <sz val="10"/>
            <rFont val="Arial"/>
            <family val="2"/>
          </rPr>
          <t xml:space="preserve">For admixture_of: parent's contribution fraction. Otherwise blank or 1.0.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population | community | institution | nation_state | sub_national_region | diaspora | virtual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Per (Carrier, As-of Year, Domain), fractions should sum to ~1.0.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Genetic: qpAdm, f3, f4, ADMIXTURE, IBD. Tech: typological, radiocarbon. Linguistic: comparative method, glottochronology. Ideological: textual analysis, survey, voting record.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demic | elite_dominance | pastoralist | conquest | missionary | trade | mass_media | education_system | viral_propagation | institutional_capture | colonization | demic_plus_cultural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coastline | ice_sheet | glacier | lake | inland_sea | river | desert | forest | savanna | tundra | land_bridge | volcano | sea</t>
        </r>
      </text>
    </comment>
    <comment ref="E1" authorId="0">
      <text>
        <r>
          <rPr>
            <sz val="10"/>
            <rFont val="Arial"/>
            <family val="2"/>
          </rPr>
          <t xml:space="preserve">Phase 0: textual description. Phase 1: replace with GeoJSON polygon paths or derive from PaleoclimateState + modern bathymetry.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global | regional</t>
        </r>
      </text>
    </comment>
    <comment ref="E1" authorId="0">
      <text>
        <r>
          <rPr>
            <sz val="10"/>
            <rFont val="Arial"/>
            <family val="2"/>
          </rPr>
          <t xml:space="preserve">Negative = below present. Used by renderer to derive paleo-coastlines from modern bathymetry.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book_chapter | peer_reviewed_paper | preprint | dataset | popular_book | wikipedia | primary_record | oral_tradition | press | think_tank_paper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Trait | TraitRelation | Carrier | CarrierTraitMix | TraitObservation | PropagationEvent | PhysicalFeature | PaleoclimateState | General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Comma-separated domains (genetic; ideological; etc.) or "all".</t>
        </r>
      </text>
    </comment>
    <comment ref="F1" authorId="0">
      <text>
        <r>
          <rPr>
            <sz val="10"/>
            <rFont val="Arial"/>
            <family val="2"/>
          </rPr>
          <t xml:space="preserve">How this Perspective treats sources, what it privileges, what it explicitly rejects, known blind spots. Required reading for users selecting it.</t>
        </r>
      </text>
    </comment>
    <comment ref="I1" authorId="0">
      <text>
        <r>
          <rPr>
            <sz val="10"/>
            <rFont val="Arial"/>
            <family val="2"/>
          </rPr>
          <t xml:space="preserve">admitted | provisional | rejected | retired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Same vocabulary as Claims.Subject Type, plus "Claim" for endorsing/rejecting an existing Claim.</t>
        </r>
      </text>
    </comment>
    <comment ref="E1" authorId="0">
      <text>
        <r>
          <rPr>
            <sz val="10"/>
            <rFont val="Arial"/>
            <family val="2"/>
          </rPr>
          <t xml:space="preserve">endorses | rejects | nuances | asserts (asserts = adds a new claim this Perspective makes alone)</t>
        </r>
      </text>
    </comment>
    <comment ref="H1" authorId="0">
      <text>
        <r>
          <rPr>
            <sz val="10"/>
            <rFont val="Arial"/>
            <family val="2"/>
          </rPr>
          <t xml:space="preserve">Format: SOURCE_ID:weight; SOURCE_ID:weight.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continent | subregion | macro-region | site | basin | steppe | river_valley | nation_state | sub_national</t>
        </r>
      </text>
    </comment>
  </commentList>
</comments>
</file>

<file path=xl/sharedStrings.xml><?xml version="1.0" encoding="utf-8"?>
<sst xmlns="http://schemas.openxmlformats.org/spreadsheetml/2006/main" count="1084" uniqueCount="780">
  <si>
    <t xml:space="preserve">Human History Simulator — Extraction Template v0.3</t>
  </si>
  <si>
    <t xml:space="preserve">WHAT CHANGED FROM v0.2</t>
  </si>
  <si>
    <t xml:space="preserve">  - AncestryComponents -&gt; Traits, with a Domain field (genetic, technological, linguistic,</t>
  </si>
  <si>
    <t xml:space="preserve">    religious, ideological, artistic, institutional, material_culture, other).</t>
  </si>
  <si>
    <t xml:space="preserve">    Same machinery now traces ANY heritable thing: genes, tech, languages, religions, ideologies.</t>
  </si>
  <si>
    <t xml:space="preserve">  - Populations -&gt; Carriers (since they don't only carry genes).</t>
  </si>
  <si>
    <t xml:space="preserve">  - MigrationEvents -&gt; PropagationEvents (genetic migration is one mechanism among many).</t>
  </si>
  <si>
    <t xml:space="preserve">  - Added PhysicalFeatures + PaleoclimateStates: the basemap evolves over time too.</t>
  </si>
  <si>
    <t xml:space="preserve">  - Added Perspectives + PerspectiveEndorsements: disagreement is first-class.</t>
  </si>
  <si>
    <t xml:space="preserve">    Multiple internally-coherent worldviews can co-exist at the same time/place.</t>
  </si>
  <si>
    <t xml:space="preserve">CORE IDEA</t>
  </si>
  <si>
    <t xml:space="preserve">  Anything that propagates over time and admixes - genes, technologies, religions,</t>
  </si>
  <si>
    <t xml:space="preserve">  ideologies, languages - is a Trait. Carriers (groups of people, places, institutions)</t>
  </si>
  <si>
    <t xml:space="preserve">  hold time-varying mixtures of Traits. PropagationEvents move Traits between Carriers.</t>
  </si>
  <si>
    <t xml:space="preserve">  Every fact is a Claim backed by Sources. Multiple Perspectives can endorse different</t>
  </si>
  <si>
    <t xml:space="preserve">  Claims at the same (time, place), enabling side-by-side and diff visualizations.</t>
  </si>
  <si>
    <t xml:space="preserve">HOW TO USE</t>
  </si>
  <si>
    <t xml:space="preserve">  1. Phase 0 seeds from Reich's "Who We Are and How We Got Here" (genetic domain only).</t>
  </si>
  <si>
    <t xml:space="preserve">  2. Read one chapter at a time using the Chapters sheet.</t>
  </si>
  <si>
    <t xml:space="preserve">  3. Fill rows on entity sheets. Green example rows are documentation; do not delete.</t>
  </si>
  <si>
    <t xml:space="preserve">  4. Every factual row references at least one Source ID and has a Confidence rating.</t>
  </si>
  <si>
    <t xml:space="preserve">  5. Phase 0 ships with two Perspectives:</t>
  </si>
  <si>
    <t xml:space="preserve">       PERSP_REICH_2018      = the book alone</t>
  </si>
  <si>
    <t xml:space="preserve">       PERSP_POSTREICH_2025  = book + major revisions (Lazaridis 2022, Narasimhan 2019, etc.)</t>
  </si>
  <si>
    <t xml:space="preserve">     This is enough to demo the diff/probe UX on the Indo-Aryan question.</t>
  </si>
  <si>
    <t xml:space="preserve">  6. IDs are stable strings. Once used, do not change them - other sheets reference them.</t>
  </si>
  <si>
    <t xml:space="preserve">SHEETS</t>
  </si>
  <si>
    <t xml:space="preserve">  Chapters                 - Reich chapter checklist (Phase 0 source)</t>
  </si>
  <si>
    <t xml:space="preserve">  Traits                   - atomic heritable units across all domains</t>
  </si>
  <si>
    <t xml:space="preserve">  TraitRelations           - descent / admixture / influence edges between Traits</t>
  </si>
  <si>
    <t xml:space="preserve">  Carriers                 - named time-bounded groups (replaces Populations)</t>
  </si>
  <si>
    <t xml:space="preserve">  CarrierTraitMix          - what fraction of which traits a Carrier holds at a time</t>
  </si>
  <si>
    <t xml:space="preserve">  TraitObservations        - sample-level evidence (replaces AdmixtureObservations)</t>
  </si>
  <si>
    <t xml:space="preserve">  PropagationEvents        - pulses of trait spread (replaces MigrationEvents)</t>
  </si>
  <si>
    <t xml:space="preserve">  PhysicalFeatures         - coastlines, ice sheets, lakes, rivers, deserts, land bridges</t>
  </si>
  <si>
    <t xml:space="preserve">  PaleoclimateStates       - sea level, temperature anomaly, ice volume by year</t>
  </si>
  <si>
    <t xml:space="preserve">  Sources                  - citations</t>
  </si>
  <si>
    <t xml:space="preserve">  Claims                   - atomic fact units linking statements to sources</t>
  </si>
  <si>
    <t xml:space="preserve">  Perspectives             - internally-coherent worldviews / lenses</t>
  </si>
  <si>
    <t xml:space="preserve">  PerspectiveEndorsements  - which Perspective endorses or rejects which Claims</t>
  </si>
  <si>
    <t xml:space="preserve">  Geographies              - named regions and sites</t>
  </si>
  <si>
    <t xml:space="preserve">  ID Conventions           - naming rules</t>
  </si>
  <si>
    <t xml:space="preserve">  Confidence Scale         - 1-5 rating definitions</t>
  </si>
  <si>
    <t xml:space="preserve">DATE / COORDINATE CONVENTIONS</t>
  </si>
  <si>
    <t xml:space="preserve">  - Years are integers. BCE = negative (3000 BCE = -3000). CE = positive.</t>
  </si>
  <si>
    <t xml:space="preserve">  - All dates are ranges: date_min_year and date_max_year. Single year = same in both.</t>
  </si>
  <si>
    <t xml:space="preserve">  - Coordinates: decimal degrees, WGS84. Negative for South / West.</t>
  </si>
  <si>
    <t xml:space="preserve">  - Bounding box format: "W,S,E,N" (e.g. "30,42,55,52").</t>
  </si>
  <si>
    <t xml:space="preserve">  - Trait fractions per Carrier per snapshot should sum to ~1.0 within each domain.</t>
  </si>
  <si>
    <t xml:space="preserve">EDITORIAL NOTE</t>
  </si>
  <si>
    <t xml:space="preserve">  Some traits - especially modern ideological and religious ones - are politically contested.</t>
  </si>
  <si>
    <t xml:space="preserve">  Use Perspectives to capture multiple lineage trees, never collapse to a single "truth".</t>
  </si>
  <si>
    <t xml:space="preserve">  See the Editorial Policy doc for the methodology bar a Perspective must clear.</t>
  </si>
  <si>
    <t xml:space="preserve">Chapter</t>
  </si>
  <si>
    <t xml:space="preserve">Title</t>
  </si>
  <si>
    <t xml:space="preserve">Primary Region</t>
  </si>
  <si>
    <t xml:space="preserve">Key Traits (genetic)</t>
  </si>
  <si>
    <t xml:space="preserve">Key Propagation Events</t>
  </si>
  <si>
    <t xml:space="preserve">Status</t>
  </si>
  <si>
    <t xml:space="preserve">Notes</t>
  </si>
  <si>
    <t xml:space="preserve">Part I</t>
  </si>
  <si>
    <t xml:space="preserve">THE DEEP HISTORY OF OUR SPECIES</t>
  </si>
  <si>
    <t xml:space="preserve">How the Genome Explains Who We Are</t>
  </si>
  <si>
    <t xml:space="preserve">Global</t>
  </si>
  <si>
    <t xml:space="preserve">Modern humans, Neanderthal, Denisovan</t>
  </si>
  <si>
    <t xml:space="preserve">Out-of-Africa; Neanderthal admixture</t>
  </si>
  <si>
    <t xml:space="preserve">Not started</t>
  </si>
  <si>
    <t xml:space="preserve">Sets up methodology</t>
  </si>
  <si>
    <t xml:space="preserve">Encounters with Neanderthals</t>
  </si>
  <si>
    <t xml:space="preserve">Eurasia</t>
  </si>
  <si>
    <t xml:space="preserve">Neanderthal, Modern Human (non-African)</t>
  </si>
  <si>
    <t xml:space="preserve">Neanderthal introgression ~50-60kya</t>
  </si>
  <si>
    <t xml:space="preserve">Ancient DNA Opens the Floodgates</t>
  </si>
  <si>
    <t xml:space="preserve">Methodology</t>
  </si>
  <si>
    <t xml:space="preserve">n/a</t>
  </si>
  <si>
    <t xml:space="preserve">Mostly methods</t>
  </si>
  <si>
    <t xml:space="preserve">Part II</t>
  </si>
  <si>
    <t xml:space="preserve">HOW WE GOT TO WHERE WE ARE TODAY</t>
  </si>
  <si>
    <t xml:space="preserve">Humanity's Ghosts</t>
  </si>
  <si>
    <t xml:space="preserve">Europe</t>
  </si>
  <si>
    <t xml:space="preserve">WHG, EEF, ANE, Yamnaya</t>
  </si>
  <si>
    <t xml:space="preserve">EEF expansion ~7000 BCE; Yamnaya ~3000 BCE</t>
  </si>
  <si>
    <t xml:space="preserve">Foundational Europe chapter</t>
  </si>
  <si>
    <t xml:space="preserve">The Making of Modern Europe</t>
  </si>
  <si>
    <t xml:space="preserve">WHG, EEF, Yamnaya, CHG</t>
  </si>
  <si>
    <t xml:space="preserve">Yamnaya / Corded Ware / Bell Beaker</t>
  </si>
  <si>
    <t xml:space="preserve">Heaviest chapter</t>
  </si>
  <si>
    <t xml:space="preserve">The Collision That Formed India</t>
  </si>
  <si>
    <t xml:space="preserve">South Asia</t>
  </si>
  <si>
    <t xml:space="preserve">ASI, ANI, Iranian farmer, Steppe</t>
  </si>
  <si>
    <t xml:space="preserve">Indo-Aryan migration (contested - multiple Perspectives)</t>
  </si>
  <si>
    <t xml:space="preserve">Use both PERSP_AMT and PERSP_OOI for this chapter</t>
  </si>
  <si>
    <t xml:space="preserve">In Search of Native American Ancestors</t>
  </si>
  <si>
    <t xml:space="preserve">Americas</t>
  </si>
  <si>
    <t xml:space="preserve">ANE, East Asian, First Americans</t>
  </si>
  <si>
    <t xml:space="preserve">Beringian standstill; peopling of Americas</t>
  </si>
  <si>
    <t xml:space="preserve">The Genomic Origins of East Asians</t>
  </si>
  <si>
    <t xml:space="preserve">East Asia</t>
  </si>
  <si>
    <t xml:space="preserve">East Asian, Tianyuan-related</t>
  </si>
  <si>
    <t xml:space="preserve">Sino-Tibetan, Austronesian expansions</t>
  </si>
  <si>
    <t xml:space="preserve">Reich notes data was thin in 2018</t>
  </si>
  <si>
    <t xml:space="preserve">Rejoining Africa to the Human Story</t>
  </si>
  <si>
    <t xml:space="preserve">Africa</t>
  </si>
  <si>
    <t xml:space="preserve">Khoisan, Nilotic, West African, Eurasian back-migration</t>
  </si>
  <si>
    <t xml:space="preserve">Bantu expansion; back-to-Africa</t>
  </si>
  <si>
    <t xml:space="preserve">Underdeveloped - supplement with Skoglund</t>
  </si>
  <si>
    <t xml:space="preserve">Part III</t>
  </si>
  <si>
    <t xml:space="preserve">THE DISRUPTIVE GENOME</t>
  </si>
  <si>
    <t xml:space="preserve">The Genomics of Inequality</t>
  </si>
  <si>
    <t xml:space="preserve">Sex-biased admixture patterns</t>
  </si>
  <si>
    <t xml:space="preserve">The Genomics of Race and Identity</t>
  </si>
  <si>
    <t xml:space="preserve">Mostly commentary</t>
  </si>
  <si>
    <t xml:space="preserve">The Future of Ancient DNA</t>
  </si>
  <si>
    <t xml:space="preserve">Speculative</t>
  </si>
  <si>
    <t xml:space="preserve">Trait ID</t>
  </si>
  <si>
    <t xml:space="preserve">Domain</t>
  </si>
  <si>
    <t xml:space="preserve">Display Name</t>
  </si>
  <si>
    <t xml:space="preserve">Aliases</t>
  </si>
  <si>
    <t xml:space="preserve">First Detected (year)</t>
  </si>
  <si>
    <t xml:space="preserve">Last Detected (year)</t>
  </si>
  <si>
    <t xml:space="preserve">Origin Region</t>
  </si>
  <si>
    <t xml:space="preserve">Origin Lat</t>
  </si>
  <si>
    <t xml:space="preserve">Origin Lon</t>
  </si>
  <si>
    <t xml:space="preserve">Defining Sample(s) / Exemplars</t>
  </si>
  <si>
    <t xml:space="preserve">Description</t>
  </si>
  <si>
    <t xml:space="preserve">Source IDs</t>
  </si>
  <si>
    <t xml:space="preserve">Confidence (1-5)</t>
  </si>
  <si>
    <t xml:space="preserve">Politically Sensitive?</t>
  </si>
  <si>
    <t xml:space="preserve">ANE</t>
  </si>
  <si>
    <t xml:space="preserve">genetic</t>
  </si>
  <si>
    <t xml:space="preserve">Ancient North Eurasian</t>
  </si>
  <si>
    <t xml:space="preserve">ANE; Mal'ta cluster</t>
  </si>
  <si>
    <t xml:space="preserve">Siberia / Lake Baikal</t>
  </si>
  <si>
    <t xml:space="preserve">MA-1 (Mal'ta boy ~24,000 BP); AG3</t>
  </si>
  <si>
    <t xml:space="preserve">Deep northern-Eurasian lineage detected in 24,000-year-old Siberian remains. Contributes to Europeans (via EHG/Yamnaya) and Native Americans.</t>
  </si>
  <si>
    <t xml:space="preserve">REICH_CH4; RAGHAVAN_2014</t>
  </si>
  <si>
    <t xml:space="preserve">One of the major surprises of ancient DNA.</t>
  </si>
  <si>
    <t xml:space="preserve">EEF</t>
  </si>
  <si>
    <t xml:space="preserve">Early European Farmers</t>
  </si>
  <si>
    <t xml:space="preserve">Anatolian Neolithic; ANF</t>
  </si>
  <si>
    <t xml:space="preserve">Anatolia -&gt; Europe</t>
  </si>
  <si>
    <t xml:space="preserve">Stuttgart (LBK); Anatolian Neolithic</t>
  </si>
  <si>
    <t xml:space="preserve">Farmers spreading from Anatolia into Europe ~7000 BCE.</t>
  </si>
  <si>
    <t xml:space="preserve">REICH_CH4; LAZARIDIS_2014</t>
  </si>
  <si>
    <t xml:space="preserve">YAMNAYA</t>
  </si>
  <si>
    <t xml:space="preserve">Yamnaya Steppe Pastoralists</t>
  </si>
  <si>
    <t xml:space="preserve">Steppe_EMBA</t>
  </si>
  <si>
    <t xml:space="preserve">Pontic-Caspian Steppe</t>
  </si>
  <si>
    <t xml:space="preserve">Yamnaya kurgan samples</t>
  </si>
  <si>
    <t xml:space="preserve">Bronze Age pastoralists whose expansion ~3000 BCE reshaped European and South Asian ancestry.</t>
  </si>
  <si>
    <t xml:space="preserve">REICH_CH5; HAAK_2015</t>
  </si>
  <si>
    <t xml:space="preserve">Likely associated with Indo-European spread; linguistic interpretation contested.</t>
  </si>
  <si>
    <t xml:space="preserve">ASI</t>
  </si>
  <si>
    <t xml:space="preserve">Ancestral South Indian</t>
  </si>
  <si>
    <t xml:space="preserve">Inferred from modern populations</t>
  </si>
  <si>
    <t xml:space="preserve">Reconstructed deep South Asian ancestry component.</t>
  </si>
  <si>
    <t xml:space="preserve">REICH_CH6; NARASIMHAN_2019</t>
  </si>
  <si>
    <t xml:space="preserve">Mostly inferred; revised in Narasimhan 2019.</t>
  </si>
  <si>
    <t xml:space="preserve">TECH_AGRICULTURE_FERTILE_CRESCENT</t>
  </si>
  <si>
    <t xml:space="preserve">technological</t>
  </si>
  <si>
    <t xml:space="preserve">Fertile Crescent Agriculture</t>
  </si>
  <si>
    <t xml:space="preserve">Neolithic founder crop package</t>
  </si>
  <si>
    <t xml:space="preserve">Levant / Fertile Crescent</t>
  </si>
  <si>
    <t xml:space="preserve">Wheat, barley, lentil, pea, chickpea, flax, bitter vetch domestication sites</t>
  </si>
  <si>
    <t xml:space="preserve">Founder package of domesticated cereals and legumes.</t>
  </si>
  <si>
    <t xml:space="preserve">Phase 1: cite Zeder 2011, Riehl 2013, etc.</t>
  </si>
  <si>
    <t xml:space="preserve">TECH_BRONZE_METALLURGY</t>
  </si>
  <si>
    <t xml:space="preserve">Bronze metallurgy</t>
  </si>
  <si>
    <t xml:space="preserve">Tin-bronze; arsenical bronze precursor</t>
  </si>
  <si>
    <t xml:space="preserve">SW Asia / Anatolia</t>
  </si>
  <si>
    <t xml:space="preserve">Maykop; Anatolian early bronze sites</t>
  </si>
  <si>
    <t xml:space="preserve">Alloying copper with tin (or arsenic) to make bronze tools and weapons.</t>
  </si>
  <si>
    <t xml:space="preserve">LING_PROTO_INDO_EUROPEAN</t>
  </si>
  <si>
    <t xml:space="preserve">linguistic</t>
  </si>
  <si>
    <t xml:space="preserve">Proto-Indo-European</t>
  </si>
  <si>
    <t xml:space="preserve">PIE</t>
  </si>
  <si>
    <t xml:space="preserve">Pontic-Caspian Steppe (Steppe hypothesis) OR Anatolia (Anatolian hypothesis)</t>
  </si>
  <si>
    <t xml:space="preserve">Reconstructed via comparative method</t>
  </si>
  <si>
    <t xml:space="preserve">Reconstructed common ancestor of Indo-European languages.</t>
  </si>
  <si>
    <t xml:space="preserve">Homeland is contested: Steppe vs Anatolian hypotheses. Use Perspectives.</t>
  </si>
  <si>
    <t xml:space="preserve">REL_PROTESTANT_REFORMATION</t>
  </si>
  <si>
    <t xml:space="preserve">religious</t>
  </si>
  <si>
    <t xml:space="preserve">Protestant Reformation Christianity</t>
  </si>
  <si>
    <t xml:space="preserve">Reformed Christianity</t>
  </si>
  <si>
    <t xml:space="preserve">Wittenberg / Holy Roman Empire</t>
  </si>
  <si>
    <t xml:space="preserve">Luther's 95 Theses; Calvin's Institutes; Augsburg Confession</t>
  </si>
  <si>
    <t xml:space="preserve">Movement breaking from Roman Catholic Church starting 1517, emphasizing sola scriptura, sola fide.</t>
  </si>
  <si>
    <t xml:space="preserve">REL_AMERICAN_EVANGELICALISM</t>
  </si>
  <si>
    <t xml:space="preserve">American Evangelicalism</t>
  </si>
  <si>
    <t xml:space="preserve">US evangelical Protestantism</t>
  </si>
  <si>
    <t xml:space="preserve">British North America / USA</t>
  </si>
  <si>
    <t xml:space="preserve">First &amp; Second Great Awakenings; Moody; Graham; NAE 1942</t>
  </si>
  <si>
    <t xml:space="preserve">Distinctively American Protestant tradition emphasizing personal conversion, biblical authority, and active evangelism.</t>
  </si>
  <si>
    <t xml:space="preserve">Lineage of contemporary American religious identity is contested.</t>
  </si>
  <si>
    <t xml:space="preserve">IDEO_ENLIGHTENMENT_LIBERALISM</t>
  </si>
  <si>
    <t xml:space="preserve">ideological</t>
  </si>
  <si>
    <t xml:space="preserve">Enlightenment Liberalism</t>
  </si>
  <si>
    <t xml:space="preserve">Classical liberalism (18th c.)</t>
  </si>
  <si>
    <t xml:space="preserve">Western Europe</t>
  </si>
  <si>
    <t xml:space="preserve">Locke; Montesquieu; Smith; Mill; Federalist Papers</t>
  </si>
  <si>
    <t xml:space="preserve">Political philosophy emphasizing individual rights, limited government, rule of law, religious toleration.</t>
  </si>
  <si>
    <t xml:space="preserve">IDEO_PROGRESSIVE_LIBERALISM_US</t>
  </si>
  <si>
    <t xml:space="preserve">US Progressive Liberalism (21st c.)</t>
  </si>
  <si>
    <t xml:space="preserve">American progressivism (post-2008)</t>
  </si>
  <si>
    <t xml:space="preserve">United States</t>
  </si>
  <si>
    <t xml:space="preserve">Obama coalition; post-2008 left media ecosystem; identity-politics scholarship</t>
  </si>
  <si>
    <t xml:space="preserve">Contemporary American center-left ideology. Lineage is heavily contested across Perspectives.</t>
  </si>
  <si>
    <t xml:space="preserve">Different Perspectives assign very different lineage trees.</t>
  </si>
  <si>
    <t xml:space="preserve">IDEO_TRUMPISM</t>
  </si>
  <si>
    <t xml:space="preserve">Trumpism / MAGA</t>
  </si>
  <si>
    <t xml:space="preserve">America First (post-2015)</t>
  </si>
  <si>
    <t xml:space="preserve">Trump 2016 campaign; post-2016 right media ecosystem; America First policy institutes</t>
  </si>
  <si>
    <t xml:space="preserve">Contemporary American right-populist political movement. Lineage is heavily contested across Perspectives.</t>
  </si>
  <si>
    <t xml:space="preserve">WHG</t>
  </si>
  <si>
    <t xml:space="preserve">Western Hunter-Gatherer</t>
  </si>
  <si>
    <t xml:space="preserve">Loschbour; Bichon; La Brana</t>
  </si>
  <si>
    <t xml:space="preserve">European hunter-gatherer ancestry component pre-dating EEF arrival.</t>
  </si>
  <si>
    <t xml:space="preserve">Often the substrate WHG into which EEF/Yamnaya admix.</t>
  </si>
  <si>
    <t xml:space="preserve">EHG</t>
  </si>
  <si>
    <t xml:space="preserve">Eastern Hunter-Gatherer</t>
  </si>
  <si>
    <t xml:space="preserve">Eastern Europe / Karelia</t>
  </si>
  <si>
    <t xml:space="preserve">Karelia HG; Samara HG</t>
  </si>
  <si>
    <t xml:space="preserve">Eastern European hunter-gatherer ancestry, ANE-shifted relative to WHG. Major Yamnaya source.</t>
  </si>
  <si>
    <t xml:space="preserve">REICH_CH4; HAAK_2015</t>
  </si>
  <si>
    <t xml:space="preserve">CHG</t>
  </si>
  <si>
    <t xml:space="preserve">Caucasus Hunter-Gatherer</t>
  </si>
  <si>
    <t xml:space="preserve">Caucasus</t>
  </si>
  <si>
    <t xml:space="preserve">Kotias; Satsurblia</t>
  </si>
  <si>
    <t xml:space="preserve">Caucasus hunter-gatherer ancestry, the second major contributor to Yamnaya.</t>
  </si>
  <si>
    <t xml:space="preserve">REICH_CH5; JONES_2015</t>
  </si>
  <si>
    <t xml:space="preserve">ANI</t>
  </si>
  <si>
    <t xml:space="preserve">Ancestral North Indian</t>
  </si>
  <si>
    <t xml:space="preserve">North South Asia</t>
  </si>
  <si>
    <t xml:space="preserve">Reconstructed North Indian ancestry component, mix of Iranian-farmer-related and Steppe-related.</t>
  </si>
  <si>
    <t xml:space="preserve">STEPPE_MLBA</t>
  </si>
  <si>
    <t xml:space="preserve">Middle/Late Bronze Age Steppe</t>
  </si>
  <si>
    <t xml:space="preserve">Steppe_MLBA</t>
  </si>
  <si>
    <t xml:space="preserve">Central Asian steppe</t>
  </si>
  <si>
    <t xml:space="preserve">Sintashta; Andronovo samples</t>
  </si>
  <si>
    <t xml:space="preserve">Bronze Age steppe ancestry derived from Yamnaya + EEF admixture; key source for the Steppe signal in South Asia.</t>
  </si>
  <si>
    <t xml:space="preserve">REICH_CH6; NARASIMHAN_2019; HAAK_2015</t>
  </si>
  <si>
    <t xml:space="preserve">Politically sensitive in South Asian context.</t>
  </si>
  <si>
    <t xml:space="preserve">BASAL_EURASIAN</t>
  </si>
  <si>
    <t xml:space="preserve">Basal Eurasian</t>
  </si>
  <si>
    <t xml:space="preserve">SW Asia / Levant (inferred)</t>
  </si>
  <si>
    <t xml:space="preserve">Inferred via f-statistics</t>
  </si>
  <si>
    <t xml:space="preserve">Hypothesized deep lineage that diverged from other non-Africans before Neanderthal admixture.</t>
  </si>
  <si>
    <t xml:space="preserve">Inferred entity, not directly sampled.</t>
  </si>
  <si>
    <t xml:space="preserve">Relation ID</t>
  </si>
  <si>
    <t xml:space="preserve">Child Trait ID</t>
  </si>
  <si>
    <t xml:space="preserve">Parent Trait ID</t>
  </si>
  <si>
    <t xml:space="preserve">Relation Type</t>
  </si>
  <si>
    <t xml:space="preserve">Weight</t>
  </si>
  <si>
    <t xml:space="preserve">REL_001</t>
  </si>
  <si>
    <t xml:space="preserve">admixture_of</t>
  </si>
  <si>
    <t xml:space="preserve">REL_002</t>
  </si>
  <si>
    <t xml:space="preserve">REL_003</t>
  </si>
  <si>
    <t xml:space="preserve">influenced_by</t>
  </si>
  <si>
    <t xml:space="preserve">Religious toleration arguments emerge from post-Reformation conflicts.</t>
  </si>
  <si>
    <t xml:space="preserve">REL_004</t>
  </si>
  <si>
    <t xml:space="preserve">descends_from</t>
  </si>
  <si>
    <t xml:space="preserve">Carrier ID</t>
  </si>
  <si>
    <t xml:space="preserve">Type</t>
  </si>
  <si>
    <t xml:space="preserve">Period (Display)</t>
  </si>
  <si>
    <t xml:space="preserve">Date Min (year)</t>
  </si>
  <si>
    <t xml:space="preserve">Date Max (year)</t>
  </si>
  <si>
    <t xml:space="preserve">Region</t>
  </si>
  <si>
    <t xml:space="preserve">Center Lat</t>
  </si>
  <si>
    <t xml:space="preserve">Center Lon</t>
  </si>
  <si>
    <t xml:space="preserve">Bounding Box (W,S,E,N)</t>
  </si>
  <si>
    <t xml:space="preserve">Archaeological Culture</t>
  </si>
  <si>
    <t xml:space="preserve">Linguistic Affiliation</t>
  </si>
  <si>
    <t xml:space="preserve">CARR_LBK_CENTRAL_EU</t>
  </si>
  <si>
    <t xml:space="preserve">Linearbandkeramik (Central European Early Farmers)</t>
  </si>
  <si>
    <t xml:space="preserve">population</t>
  </si>
  <si>
    <t xml:space="preserve">~5500-4500 BCE</t>
  </si>
  <si>
    <t xml:space="preserve">Central Europe</t>
  </si>
  <si>
    <t xml:space="preserve">4,46,20,55</t>
  </si>
  <si>
    <t xml:space="preserve">Linearbandkeramik (LBK)</t>
  </si>
  <si>
    <t xml:space="preserve">Pre-Indo-European (unknown)</t>
  </si>
  <si>
    <t xml:space="preserve">CARR_CORDED_WARE</t>
  </si>
  <si>
    <t xml:space="preserve">Corded Ware Culture</t>
  </si>
  <si>
    <t xml:space="preserve">~2900-2350 BCE</t>
  </si>
  <si>
    <t xml:space="preserve">Northern/Central Europe</t>
  </si>
  <si>
    <t xml:space="preserve">4,48,30,58</t>
  </si>
  <si>
    <t xml:space="preserve">Corded Ware</t>
  </si>
  <si>
    <t xml:space="preserve">Indo-European (likely)</t>
  </si>
  <si>
    <t xml:space="preserve">CARR_NW_SOUTH_ASIA_LATE_BRONZE</t>
  </si>
  <si>
    <t xml:space="preserve">Bronze Age Northwest South Asians</t>
  </si>
  <si>
    <t xml:space="preserve">~2000-1500 BCE</t>
  </si>
  <si>
    <t xml:space="preserve">Northwest South Asia</t>
  </si>
  <si>
    <t xml:space="preserve">60,20,90,40</t>
  </si>
  <si>
    <t xml:space="preserve">Late Harappan / Swat Cemetery H-related</t>
  </si>
  <si>
    <t xml:space="preserve">Indo-Aryan (per AMT) / indigenous (per OOI)</t>
  </si>
  <si>
    <t xml:space="preserve">Use PerspectiveEndorsements for AMT vs OOI readings.</t>
  </si>
  <si>
    <t xml:space="preserve">CARR_SF_BAY_AREA_2025</t>
  </si>
  <si>
    <t xml:space="preserve">San Francisco Bay Area population (2025)</t>
  </si>
  <si>
    <t xml:space="preserve">sub_national_region</t>
  </si>
  <si>
    <t xml:space="preserve">2025</t>
  </si>
  <si>
    <t xml:space="preserve">California, USA</t>
  </si>
  <si>
    <t xml:space="preserve">-122.7,37.2,-121.5,38.2</t>
  </si>
  <si>
    <t xml:space="preserve">English (multilingual)</t>
  </si>
  <si>
    <t xml:space="preserve">Modern carrier; ideological mix is heavily Perspective-dependent.</t>
  </si>
  <si>
    <t xml:space="preserve">CARR_RURAL_SOUTH_US_2025</t>
  </si>
  <si>
    <t xml:space="preserve">Rural US South population (2025)</t>
  </si>
  <si>
    <t xml:space="preserve">Southern United States</t>
  </si>
  <si>
    <t xml:space="preserve">-95,30,-78,37</t>
  </si>
  <si>
    <t xml:space="preserve">English</t>
  </si>
  <si>
    <t xml:space="preserve">Mix ID</t>
  </si>
  <si>
    <t xml:space="preserve">As-of Year</t>
  </si>
  <si>
    <t xml:space="preserve">Fraction</t>
  </si>
  <si>
    <t xml:space="preserve">Stderr</t>
  </si>
  <si>
    <t xml:space="preserve">MIX_001</t>
  </si>
  <si>
    <t xml:space="preserve">MIX_002</t>
  </si>
  <si>
    <t xml:space="preserve">MIX_003</t>
  </si>
  <si>
    <t xml:space="preserve">MIX_004</t>
  </si>
  <si>
    <t xml:space="preserve">MIX_005</t>
  </si>
  <si>
    <t xml:space="preserve">NARASIMHAN_2019</t>
  </si>
  <si>
    <t xml:space="preserve">MIX_006</t>
  </si>
  <si>
    <t xml:space="preserve">MIX_007</t>
  </si>
  <si>
    <t xml:space="preserve">Politically contested interpretation. See PerspectiveEndorsements.</t>
  </si>
  <si>
    <t xml:space="preserve">Obs ID</t>
  </si>
  <si>
    <t xml:space="preserve">Sample / Site / Document</t>
  </si>
  <si>
    <t xml:space="preserve">Date Min</t>
  </si>
  <si>
    <t xml:space="preserve">Date Max</t>
  </si>
  <si>
    <t xml:space="preserve">Lat</t>
  </si>
  <si>
    <t xml:space="preserve">Lon</t>
  </si>
  <si>
    <t xml:space="preserve">Estimated Fraction</t>
  </si>
  <si>
    <t xml:space="preserve">Method</t>
  </si>
  <si>
    <t xml:space="preserve">OBS_STUTTGART_EEF</t>
  </si>
  <si>
    <t xml:space="preserve">Stuttgart (LBK individual)</t>
  </si>
  <si>
    <t xml:space="preserve">qpAdm</t>
  </si>
  <si>
    <t xml:space="preserve">LAZARIDIS_2014; REICH_CH4</t>
  </si>
  <si>
    <t xml:space="preserve">Canonical EEF reference.</t>
  </si>
  <si>
    <t xml:space="preserve">OBS_CORDED_YAMNAYA</t>
  </si>
  <si>
    <t xml:space="preserve">Esperstedt Corded Ware</t>
  </si>
  <si>
    <t xml:space="preserve">HAAK_2015; REICH_CH5</t>
  </si>
  <si>
    <t xml:space="preserve">OBS_SWAT_STEPPE</t>
  </si>
  <si>
    <t xml:space="preserve">Swat Valley Iron Age</t>
  </si>
  <si>
    <t xml:space="preserve">Numerically robust; interpretation contested.</t>
  </si>
  <si>
    <t xml:space="preserve">Event ID</t>
  </si>
  <si>
    <t xml:space="preserve">Source Trait ID(s)</t>
  </si>
  <si>
    <t xml:space="preserve">Source Region</t>
  </si>
  <si>
    <t xml:space="preserve">Source Lat</t>
  </si>
  <si>
    <t xml:space="preserve">Source Lon</t>
  </si>
  <si>
    <t xml:space="preserve">Destination Region</t>
  </si>
  <si>
    <t xml:space="preserve">Dest Lat</t>
  </si>
  <si>
    <t xml:space="preserve">Dest Lon</t>
  </si>
  <si>
    <t xml:space="preserve">Resulting Trait Mix Change</t>
  </si>
  <si>
    <t xml:space="preserve">Mechanism</t>
  </si>
  <si>
    <t xml:space="preserve">PROP_OUT_OF_AFRICA</t>
  </si>
  <si>
    <t xml:space="preserve">Modern Human Out-of-Africa expansion</t>
  </si>
  <si>
    <t xml:space="preserve">East Africa / Levant</t>
  </si>
  <si>
    <t xml:space="preserve">Eurasia (broad)</t>
  </si>
  <si>
    <t xml:space="preserve">Founder for all non-African ancestry</t>
  </si>
  <si>
    <t xml:space="preserve">demic</t>
  </si>
  <si>
    <t xml:space="preserve">REICH_CH1; REICH_CH2</t>
  </si>
  <si>
    <t xml:space="preserve">PROP_EEF_INTO_EUROPE</t>
  </si>
  <si>
    <t xml:space="preserve">Anatolian Farmer expansion into Europe</t>
  </si>
  <si>
    <t xml:space="preserve">Anatolia</t>
  </si>
  <si>
    <t xml:space="preserve">Europe (south to north)</t>
  </si>
  <si>
    <t xml:space="preserve">EEF replaces or admixes with WHG</t>
  </si>
  <si>
    <t xml:space="preserve">PROP_YAMNAYA_INTO_EUROPE</t>
  </si>
  <si>
    <t xml:space="preserve">Yamnaya / Steppe expansion into Europe</t>
  </si>
  <si>
    <t xml:space="preserve">Europe (especially north)</t>
  </si>
  <si>
    <t xml:space="preserve">Yamnaya ancestry reaches 75%+ in Corded Ware</t>
  </si>
  <si>
    <t xml:space="preserve">pastoralist</t>
  </si>
  <si>
    <t xml:space="preserve">PROP_INDO_ARYAN_GENETIC</t>
  </si>
  <si>
    <t xml:space="preserve">Steppe ancestry into South Asia</t>
  </si>
  <si>
    <t xml:space="preserve">Adds ~10-20% Steppe ancestry to North Indian populations</t>
  </si>
  <si>
    <t xml:space="preserve">Genetic evidence solid. Cultural/linguistic interpretation per Perspective.</t>
  </si>
  <si>
    <t xml:space="preserve">PROP_AGRICULTURE_TO_EUROPE</t>
  </si>
  <si>
    <t xml:space="preserve">Spread of agriculture into Europe</t>
  </si>
  <si>
    <t xml:space="preserve">Founder crop package adopted across Europe</t>
  </si>
  <si>
    <t xml:space="preserve">demic_plus_cultural</t>
  </si>
  <si>
    <t xml:space="preserve">Tied to PROP_EEF_INTO_EUROPE: same demic event, different domain.</t>
  </si>
  <si>
    <t xml:space="preserve">Feature ID</t>
  </si>
  <si>
    <t xml:space="preserve">Geometry Description</t>
  </si>
  <si>
    <t xml:space="preserve">FEAT_DOGGERLAND</t>
  </si>
  <si>
    <t xml:space="preserve">land_bridge</t>
  </si>
  <si>
    <t xml:space="preserve">Doggerland</t>
  </si>
  <si>
    <t xml:space="preserve">Landmass connecting Britain to continental Europe; submerged by ~6500-6200 BCE.</t>
  </si>
  <si>
    <t xml:space="preserve">-2,52,8,57</t>
  </si>
  <si>
    <t xml:space="preserve">GAFFNEY_2009</t>
  </si>
  <si>
    <t xml:space="preserve">Lost to Holocene sea level rise.</t>
  </si>
  <si>
    <t xml:space="preserve">FEAT_BERINGIA_LAND</t>
  </si>
  <si>
    <t xml:space="preserve">Beringian land bridge</t>
  </si>
  <si>
    <t xml:space="preserve">Subaerial connection between Siberia and Alaska during last glacial maximum.</t>
  </si>
  <si>
    <t xml:space="preserve">160,55,-150,72</t>
  </si>
  <si>
    <t xml:space="preserve">ICE6G; HOFFECKER_2016</t>
  </si>
  <si>
    <t xml:space="preserve">Submerged ~11,000 BCE.</t>
  </si>
  <si>
    <t xml:space="preserve">FEAT_GREEN_SAHARA</t>
  </si>
  <si>
    <t xml:space="preserve">savanna</t>
  </si>
  <si>
    <t xml:space="preserve">African Humid Period (Green Sahara)</t>
  </si>
  <si>
    <t xml:space="preserve">Sahara region with lakes, savanna, and large mammal fauna.</t>
  </si>
  <si>
    <t xml:space="preserve">-15,15,30,28</t>
  </si>
  <si>
    <t xml:space="preserve">DEMENOCAL_2000</t>
  </si>
  <si>
    <t xml:space="preserve">Ended ~3000 BCE with rapid aridification.</t>
  </si>
  <si>
    <t xml:space="preserve">FEAT_ICE_SHEET_LGM_NA</t>
  </si>
  <si>
    <t xml:space="preserve">ice_sheet</t>
  </si>
  <si>
    <t xml:space="preserve">Laurentide Ice Sheet (LGM extent)</t>
  </si>
  <si>
    <t xml:space="preserve">Continent-scale ice sheet covering most of Canada and northern US at last glacial maximum.</t>
  </si>
  <si>
    <t xml:space="preserve">-130,40,-60,80</t>
  </si>
  <si>
    <t xml:space="preserve">ICE6G; DYKE_2004</t>
  </si>
  <si>
    <t xml:space="preserve">FEAT_BLACK_SEA_HOLOCENE</t>
  </si>
  <si>
    <t xml:space="preserve">inland_sea</t>
  </si>
  <si>
    <t xml:space="preserve">Black Sea (post-flooding)</t>
  </si>
  <si>
    <t xml:space="preserve">Reconnected to Mediterranean; possibly catastrophic flooding event ~5600 BCE.</t>
  </si>
  <si>
    <t xml:space="preserve">27,40,42,47</t>
  </si>
  <si>
    <t xml:space="preserve">RYAN_PITMAN_1997</t>
  </si>
  <si>
    <t xml:space="preserve">Flood interpretation contested - use Perspectives.</t>
  </si>
  <si>
    <t xml:space="preserve">State ID</t>
  </si>
  <si>
    <t xml:space="preserve">Year</t>
  </si>
  <si>
    <t xml:space="preserve">Scope</t>
  </si>
  <si>
    <t xml:space="preserve">Sea Level vs Present (m)</t>
  </si>
  <si>
    <t xml:space="preserve">Mean Temp Anomaly (C)</t>
  </si>
  <si>
    <t xml:space="preserve">Ice Volume (relative)</t>
  </si>
  <si>
    <t xml:space="preserve">CO2 (ppm)</t>
  </si>
  <si>
    <t xml:space="preserve">PCS_LGM_GLOBAL</t>
  </si>
  <si>
    <t xml:space="preserve">global</t>
  </si>
  <si>
    <t xml:space="preserve">+50% vs present</t>
  </si>
  <si>
    <t xml:space="preserve">ICE6G; CLARK_2009; PMIP4</t>
  </si>
  <si>
    <t xml:space="preserve">Last Glacial Maximum.</t>
  </si>
  <si>
    <t xml:space="preserve">PCS_HOLOCENE_OPT_GLOBAL</t>
  </si>
  <si>
    <t xml:space="preserve">near present</t>
  </si>
  <si>
    <t xml:space="preserve">PMIP4; RENSSEN_2012</t>
  </si>
  <si>
    <t xml:space="preserve">Holocene Climatic Optimum.</t>
  </si>
  <si>
    <t xml:space="preserve">PCS_AHP_NORTH_AFRICA</t>
  </si>
  <si>
    <t xml:space="preserve">regional</t>
  </si>
  <si>
    <t xml:space="preserve">North Africa</t>
  </si>
  <si>
    <t xml:space="preserve">DEMENOCAL_2000; CLAUSSEN_1999</t>
  </si>
  <si>
    <t xml:space="preserve">African Humid Period: Sahara wet-savanna phase.</t>
  </si>
  <si>
    <t xml:space="preserve">PCS_4K2_EVENT</t>
  </si>
  <si>
    <t xml:space="preserve">WEISS_1993; BOND_1997</t>
  </si>
  <si>
    <t xml:space="preserve">4.2-kiloyear aridification event.</t>
  </si>
  <si>
    <t xml:space="preserve">PCS_LIA</t>
  </si>
  <si>
    <t xml:space="preserve">MANN_2009; PAGES2K</t>
  </si>
  <si>
    <t xml:space="preserve">Little Ice Age.</t>
  </si>
  <si>
    <t xml:space="preserve">Source ID</t>
  </si>
  <si>
    <t xml:space="preserve">Citation</t>
  </si>
  <si>
    <t xml:space="preserve">Author(s)</t>
  </si>
  <si>
    <t xml:space="preserve">Pages / Section</t>
  </si>
  <si>
    <t xml:space="preserve">DOI / URL</t>
  </si>
  <si>
    <t xml:space="preserve">Edition</t>
  </si>
  <si>
    <t xml:space="preserve">Default Confidence Weight (0-1)</t>
  </si>
  <si>
    <t xml:space="preserve">Superseded By</t>
  </si>
  <si>
    <t xml:space="preserve">Tags</t>
  </si>
  <si>
    <t xml:space="preserve">REICH_CH1</t>
  </si>
  <si>
    <t xml:space="preserve">book_chapter</t>
  </si>
  <si>
    <t xml:space="preserve">Reich, D. (2018). Who We Are and How We Got Here, Ch. 1.</t>
  </si>
  <si>
    <t xml:space="preserve">Reich, David</t>
  </si>
  <si>
    <t xml:space="preserve">Ch. 1, pp. 3-22 (Pantheon hardcover)</t>
  </si>
  <si>
    <t xml:space="preserve">Pantheon 2018, 1st ed.</t>
  </si>
  <si>
    <t xml:space="preserve">genetic; methods</t>
  </si>
  <si>
    <t xml:space="preserve">REICH_CH4</t>
  </si>
  <si>
    <t xml:space="preserve">Reich, D. (2018). Who We Are. Ch. 4: Humanity's Ghosts.</t>
  </si>
  <si>
    <t xml:space="preserve">Ch. 4</t>
  </si>
  <si>
    <t xml:space="preserve">europe; ANE; EEF; WHG</t>
  </si>
  <si>
    <t xml:space="preserve">REICH_CH5</t>
  </si>
  <si>
    <t xml:space="preserve">Reich, D. (2018). Who We Are. Ch. 5: Modern Europe.</t>
  </si>
  <si>
    <t xml:space="preserve">Ch. 5</t>
  </si>
  <si>
    <t xml:space="preserve">europe; yamnaya; corded ware</t>
  </si>
  <si>
    <t xml:space="preserve">REICH_CH6</t>
  </si>
  <si>
    <t xml:space="preserve">Reich, D. (2018). Who We Are. Ch. 6: India.</t>
  </si>
  <si>
    <t xml:space="preserve">Ch. 6</t>
  </si>
  <si>
    <t xml:space="preserve">south asia; politically sensitive</t>
  </si>
  <si>
    <t xml:space="preserve">Largely refined by Narasimhan 2019.</t>
  </si>
  <si>
    <t xml:space="preserve">HAAK_2015</t>
  </si>
  <si>
    <t xml:space="preserve">peer_reviewed_paper</t>
  </si>
  <si>
    <t xml:space="preserve">Haak et al. (2015). Massive migration from the steppe... Nature 522, 207-211.</t>
  </si>
  <si>
    <t xml:space="preserve">Haak et al.</t>
  </si>
  <si>
    <t xml:space="preserve">https://doi.org/10.1038/nature14317</t>
  </si>
  <si>
    <t xml:space="preserve">yamnaya; europe; steppe</t>
  </si>
  <si>
    <t xml:space="preserve">LAZARIDIS_2014</t>
  </si>
  <si>
    <t xml:space="preserve">Lazaridis et al. (2014). Ancient human genomes... Nature 513, 409-413.</t>
  </si>
  <si>
    <t xml:space="preserve">Lazaridis et al.</t>
  </si>
  <si>
    <t xml:space="preserve">https://doi.org/10.1038/nature13673</t>
  </si>
  <si>
    <t xml:space="preserve">LAZARIDIS_2022</t>
  </si>
  <si>
    <t xml:space="preserve">europe; EEF; WHG; ANE</t>
  </si>
  <si>
    <t xml:space="preserve">Narasimhan et al. (2019). The formation of human populations in South and Central Asia. Science 365.</t>
  </si>
  <si>
    <t xml:space="preserve">Narasimhan et al.</t>
  </si>
  <si>
    <t xml:space="preserve">https://doi.org/10.1126/science.aat7487</t>
  </si>
  <si>
    <t xml:space="preserve">south asia; steppe; revision</t>
  </si>
  <si>
    <t xml:space="preserve">RAGHAVAN_2014</t>
  </si>
  <si>
    <t xml:space="preserve">Raghavan et al. (2014). Upper Palaeolithic Siberian genome... Nature 505, 87-91.</t>
  </si>
  <si>
    <t xml:space="preserve">Raghavan et al.</t>
  </si>
  <si>
    <t xml:space="preserve">https://doi.org/10.1038/nature12736</t>
  </si>
  <si>
    <t xml:space="preserve">ANE; americas</t>
  </si>
  <si>
    <t xml:space="preserve">The MA-1 paper.</t>
  </si>
  <si>
    <t xml:space="preserve">ICE6G</t>
  </si>
  <si>
    <t xml:space="preserve">dataset</t>
  </si>
  <si>
    <t xml:space="preserve">Peltier W. R., Argus D. F., Drummond R. (2015). ICE-6G_C (VM5a) model.</t>
  </si>
  <si>
    <t xml:space="preserve">Peltier et al.</t>
  </si>
  <si>
    <t xml:space="preserve">https://www.atmosp.physics.utoronto.ca/~peltier/data.php</t>
  </si>
  <si>
    <t xml:space="preserve">paleoclimate; sea level; ice sheets</t>
  </si>
  <si>
    <t xml:space="preserve">deMenocal et al. (2000). Abrupt onset and termination of the African Humid Period. QSR 19.</t>
  </si>
  <si>
    <t xml:space="preserve">deMenocal et al.</t>
  </si>
  <si>
    <t xml:space="preserve">https://doi.org/10.1016/S0277-3791(99)00081-5</t>
  </si>
  <si>
    <t xml:space="preserve">paleoclimate; sahara; AHP</t>
  </si>
  <si>
    <t xml:space="preserve">popular_book</t>
  </si>
  <si>
    <t xml:space="preserve">Gaffney et al. (2009). Europe's Lost World: Doggerland.</t>
  </si>
  <si>
    <t xml:space="preserve">Gaffney, V. et al.</t>
  </si>
  <si>
    <t xml:space="preserve">CBA Research Report 160</t>
  </si>
  <si>
    <t xml:space="preserve">doggerland; sea level</t>
  </si>
  <si>
    <t xml:space="preserve">HOFFECKER_2016</t>
  </si>
  <si>
    <t xml:space="preserve">Hoffecker et al. (2016). Beringia and the global dispersal of modern humans. Evol. Anthropol. 25.</t>
  </si>
  <si>
    <t xml:space="preserve">Hoffecker et al.</t>
  </si>
  <si>
    <t xml:space="preserve">https://doi.org/10.1002/evan.21478</t>
  </si>
  <si>
    <t xml:space="preserve">beringia; americas</t>
  </si>
  <si>
    <t xml:space="preserve">Lazaridis et al. (2022). Genetic history of the Southern Arc. Science 377.</t>
  </si>
  <si>
    <t xml:space="preserve">https://doi.org/10.1126/science.abm4247</t>
  </si>
  <si>
    <t xml:space="preserve">europe; SW asia; revision</t>
  </si>
  <si>
    <t xml:space="preserve">Major post-Reich revision.</t>
  </si>
  <si>
    <t xml:space="preserve">REICH_CH7</t>
  </si>
  <si>
    <t xml:space="preserve">Reich, D. (2018). Who We Are. Ch. 7: Native American Ancestors.</t>
  </si>
  <si>
    <t xml:space="preserve">Ch. 7</t>
  </si>
  <si>
    <t xml:space="preserve">americas; ANE</t>
  </si>
  <si>
    <t xml:space="preserve">REICH_CH2</t>
  </si>
  <si>
    <t xml:space="preserve">Reich, D. (2018). Who We Are. Ch. 2: Encounters with Neanderthals.</t>
  </si>
  <si>
    <t xml:space="preserve">Ch. 2</t>
  </si>
  <si>
    <t xml:space="preserve">neanderthal; out-of-africa</t>
  </si>
  <si>
    <t xml:space="preserve">DYKE_2004</t>
  </si>
  <si>
    <t xml:space="preserve">Dyke A. S. (2004). An outline of North American deglaciation... Quaternary Glaciations.</t>
  </si>
  <si>
    <t xml:space="preserve">Dyke, A. S.</t>
  </si>
  <si>
    <t xml:space="preserve">ice sheet; laurentide</t>
  </si>
  <si>
    <t xml:space="preserve">Ryan W. &amp; Pitman W. (1997). Noah's Flood: New Scientific Discoveries.</t>
  </si>
  <si>
    <t xml:space="preserve">Ryan &amp; Pitman</t>
  </si>
  <si>
    <t xml:space="preserve">Simon &amp; Schuster</t>
  </si>
  <si>
    <t xml:space="preserve">black sea; flood; contested</t>
  </si>
  <si>
    <t xml:space="preserve">Catastrophic-flood thesis is contested.</t>
  </si>
  <si>
    <t xml:space="preserve">CLARK_2009</t>
  </si>
  <si>
    <t xml:space="preserve">Clark et al. (2009). The Last Glacial Maximum. Science 325, 710-714.</t>
  </si>
  <si>
    <t xml:space="preserve">Clark et al.</t>
  </si>
  <si>
    <t xml:space="preserve">https://doi.org/10.1126/science.1172873</t>
  </si>
  <si>
    <t xml:space="preserve">paleoclimate; LGM</t>
  </si>
  <si>
    <t xml:space="preserve">PMIP4</t>
  </si>
  <si>
    <t xml:space="preserve">Paleoclimate Modelling Intercomparison Project Phase 4.</t>
  </si>
  <si>
    <t xml:space="preserve">PMIP4 collaboration</t>
  </si>
  <si>
    <t xml:space="preserve">https://pmip4.lsce.ipsl.fr/</t>
  </si>
  <si>
    <t xml:space="preserve">paleoclimate; modeling</t>
  </si>
  <si>
    <t xml:space="preserve">RENSSEN_2012</t>
  </si>
  <si>
    <t xml:space="preserve">Renssen et al. (2012). Global characterization of the Holocene Thermal Maximum. QSR 48.</t>
  </si>
  <si>
    <t xml:space="preserve">Renssen et al.</t>
  </si>
  <si>
    <t xml:space="preserve">https://doi.org/10.1016/j.quascirev.2012.05.022</t>
  </si>
  <si>
    <t xml:space="preserve">paleoclimate; holocene optimum</t>
  </si>
  <si>
    <t xml:space="preserve">CLAUSSEN_1999</t>
  </si>
  <si>
    <t xml:space="preserve">Claussen et al. (1999). Simulation of an abrupt change in Saharan vegetation. GRL 26.</t>
  </si>
  <si>
    <t xml:space="preserve">Claussen et al.</t>
  </si>
  <si>
    <t xml:space="preserve">https://doi.org/10.1029/1999GL900494</t>
  </si>
  <si>
    <t xml:space="preserve">WEISS_1993</t>
  </si>
  <si>
    <t xml:space="preserve">Weiss et al. (1993). The genesis and collapse of third millennium NM Mesopotamian civilization. Science 261.</t>
  </si>
  <si>
    <t xml:space="preserve">Weiss et al.</t>
  </si>
  <si>
    <t xml:space="preserve">https://doi.org/10.1126/science.261.5124.995</t>
  </si>
  <si>
    <t xml:space="preserve">paleoclimate; 4.2ka; mesopotamia</t>
  </si>
  <si>
    <t xml:space="preserve">BOND_1997</t>
  </si>
  <si>
    <t xml:space="preserve">Bond et al. (1997). A pervasive millennial-scale cycle in N Atlantic Holocene climates. Science 278.</t>
  </si>
  <si>
    <t xml:space="preserve">Bond et al.</t>
  </si>
  <si>
    <t xml:space="preserve">https://doi.org/10.1126/science.278.5341.1257</t>
  </si>
  <si>
    <t xml:space="preserve">paleoclimate; bond cycles</t>
  </si>
  <si>
    <t xml:space="preserve">MANN_2009</t>
  </si>
  <si>
    <t xml:space="preserve">Mann et al. (2009). Global signatures and dynamical origins of the Little Ice Age. Science 326.</t>
  </si>
  <si>
    <t xml:space="preserve">Mann et al.</t>
  </si>
  <si>
    <t xml:space="preserve">https://doi.org/10.1126/science.1177303</t>
  </si>
  <si>
    <t xml:space="preserve">paleoclimate; little ice age</t>
  </si>
  <si>
    <t xml:space="preserve">PAGES2K</t>
  </si>
  <si>
    <t xml:space="preserve">PAGES 2k Consortium temperature reconstruction.</t>
  </si>
  <si>
    <t xml:space="preserve">PAGES 2k Consortium</t>
  </si>
  <si>
    <t xml:space="preserve">https://www.ncdc.noaa.gov/paleo/study/26872</t>
  </si>
  <si>
    <t xml:space="preserve">paleoclimate; temperature reconstruction</t>
  </si>
  <si>
    <t xml:space="preserve">JONES_2015</t>
  </si>
  <si>
    <t xml:space="preserve">Jones et al. (2015). Upper Palaeolithic genomes reveal deep roots of modern Eurasians. Nat Commun 6.</t>
  </si>
  <si>
    <t xml:space="preserve">Jones et al.</t>
  </si>
  <si>
    <t xml:space="preserve">https://doi.org/10.1038/ncomms9912</t>
  </si>
  <si>
    <t xml:space="preserve">CHG; caucasus</t>
  </si>
  <si>
    <t xml:space="preserve">Claim ID</t>
  </si>
  <si>
    <t xml:space="preserve">Subject Type</t>
  </si>
  <si>
    <t xml:space="preserve">Subject ID</t>
  </si>
  <si>
    <t xml:space="preserve">Statement</t>
  </si>
  <si>
    <t xml:space="preserve">Quantitative Value (optional)</t>
  </si>
  <si>
    <t xml:space="preserve">Default Supporting Source IDs</t>
  </si>
  <si>
    <t xml:space="preserve">Default Disputing Source IDs</t>
  </si>
  <si>
    <t xml:space="preserve">Aggregated Confidence (1-5)</t>
  </si>
  <si>
    <t xml:space="preserve">CLM_001</t>
  </si>
  <si>
    <t xml:space="preserve">PropagationEvent</t>
  </si>
  <si>
    <t xml:space="preserve">Roughly 75% of Corded Ware ancestry derives from a Yamnaya-related steppe source ~3000-2500 BCE.</t>
  </si>
  <si>
    <t xml:space="preserve">0.75 +/- 0.04</t>
  </si>
  <si>
    <t xml:space="preserve">Replicated; broadly accepted.</t>
  </si>
  <si>
    <t xml:space="preserve">CLM_002</t>
  </si>
  <si>
    <t xml:space="preserve">A Steppe_MLBA-related ancestry component entered NW South Asia ~2000-1500 BCE, contributing 10-20%.</t>
  </si>
  <si>
    <t xml:space="preserve">0.10-0.20</t>
  </si>
  <si>
    <t xml:space="preserve">NARASIMHAN_2019; REICH_CH6</t>
  </si>
  <si>
    <t xml:space="preserve">Genetic finding well-supported. Different Perspectives interpret cultural/linguistic implications differently.</t>
  </si>
  <si>
    <t xml:space="preserve">CLM_003</t>
  </si>
  <si>
    <t xml:space="preserve">Trait</t>
  </si>
  <si>
    <t xml:space="preserve">ANE ancestry, identified in MA-1 (~24,000 BP), contributes to both later Europeans and Native Americans.</t>
  </si>
  <si>
    <t xml:space="preserve">RAGHAVAN_2014; REICH_CH4; REICH_CH7</t>
  </si>
  <si>
    <t xml:space="preserve">CLM_004</t>
  </si>
  <si>
    <t xml:space="preserve">PhysicalFeature</t>
  </si>
  <si>
    <t xml:space="preserve">Doggerland was subaerial during the last glacial period and submerged by ~6500-6200 BCE.</t>
  </si>
  <si>
    <t xml:space="preserve">GAFFNEY_2009; ICE6G</t>
  </si>
  <si>
    <t xml:space="preserve">CLM_005</t>
  </si>
  <si>
    <t xml:space="preserve">TraitRelation</t>
  </si>
  <si>
    <t xml:space="preserve">IDEO_TRUMPISM (lineage)</t>
  </si>
  <si>
    <t xml:space="preserve">Lineage of Trumpism is contested across Perspectives; see PerspectiveEndorsements.</t>
  </si>
  <si>
    <t xml:space="preserve">Deliberately empty default. Perspectives endorse different trees; system never asserts a single lineage.</t>
  </si>
  <si>
    <t xml:space="preserve">Perspective ID</t>
  </si>
  <si>
    <t xml:space="preserve">Domain Scope</t>
  </si>
  <si>
    <t xml:space="preserve">Summary</t>
  </si>
  <si>
    <t xml:space="preserve">Proponents / Tradition</t>
  </si>
  <si>
    <t xml:space="preserve">Methodology Notes</t>
  </si>
  <si>
    <t xml:space="preserve">Parent Perspective</t>
  </si>
  <si>
    <t xml:space="preserve">Default Active?</t>
  </si>
  <si>
    <t xml:space="preserve">PERSP_REICH_2018</t>
  </si>
  <si>
    <t xml:space="preserve">Reich (2018) - book alone</t>
  </si>
  <si>
    <t xml:space="preserve">The world as presented in Reich's "Who We Are and How We Got Here" (2018), without later revisions.</t>
  </si>
  <si>
    <t xml:space="preserve">David Reich and 2018-era Harvard ancient DNA lab synthesis</t>
  </si>
  <si>
    <t xml:space="preserve">Sources limited to Reich book chapters and papers cited within. Reflects 2018 state of knowledge.</t>
  </si>
  <si>
    <t xml:space="preserve">admitted</t>
  </si>
  <si>
    <t xml:space="preserve">Phase 0 baseline.</t>
  </si>
  <si>
    <t xml:space="preserve">PERSP_POSTREICH_2025</t>
  </si>
  <si>
    <t xml:space="preserve">Post-Reich consensus (2025)</t>
  </si>
  <si>
    <t xml:space="preserve">Reich + major post-2018 ancient DNA revisions (Lazaridis 2022, Narasimhan 2019, Allentoft 2024).</t>
  </si>
  <si>
    <t xml:space="preserve">Mainstream ancient DNA scholarship circa 2025</t>
  </si>
  <si>
    <t xml:space="preserve">Includes all REICH_CH* sources but downweights superseded ones; adds post-2018 papers at full weight.</t>
  </si>
  <si>
    <t xml:space="preserve">Phase 0 contrast Perspective.</t>
  </si>
  <si>
    <t xml:space="preserve">PERSP_INDIAN_AMT</t>
  </si>
  <si>
    <t xml:space="preserve">Aryan Migration Theory (genetic + linguistic)</t>
  </si>
  <si>
    <t xml:space="preserve">genetic, linguistic</t>
  </si>
  <si>
    <t xml:space="preserve">Standard reading: Indo-Aryan languages and ~10-20% Steppe ancestry entered NW South Asia ~2000-1500 BCE.</t>
  </si>
  <si>
    <t xml:space="preserve">Mainstream Indo-Europeanist linguistics + ancient DNA labs</t>
  </si>
  <si>
    <t xml:space="preserve">Privileges Steppe-hypothesis IE linguistics + qpAdm-derived admixture estimates.</t>
  </si>
  <si>
    <t xml:space="preserve">For the Indo-Aryan question.</t>
  </si>
  <si>
    <t xml:space="preserve">PERSP_INDIAN_OOI</t>
  </si>
  <si>
    <t xml:space="preserve">Out-of-India / Indigenous Aryan</t>
  </si>
  <si>
    <t xml:space="preserve">Alternative reading: Indo-European originates in or near South Asia; Steppe signal interpreted differently.</t>
  </si>
  <si>
    <t xml:space="preserve">Indian indigenist scholars (Talageri, Kazanas, others); some Indian archaeological tradition</t>
  </si>
  <si>
    <t xml:space="preserve">Privileges Vedic textual chronology, archaeological continuity arguments.</t>
  </si>
  <si>
    <t xml:space="preserve">Admitted as substantive minority Perspective with identifiable scholarly proponents.</t>
  </si>
  <si>
    <t xml:space="preserve">PERSP_IDEO_ACADEMIC_MAINSTREAM_LEFT</t>
  </si>
  <si>
    <t xml:space="preserve">Academic mainstream (left-coded) on US ideologies</t>
  </si>
  <si>
    <t xml:space="preserve">Mainstream US academic political-history reading of contemporary American ideologies.</t>
  </si>
  <si>
    <t xml:space="preserve">Hofstadter, Paxton, Stanley, Lepore, contemporary US political historians</t>
  </si>
  <si>
    <t xml:space="preserve">Privileges peer-reviewed political history and sociology; tends to draw populist-right lineages back to nativist and authoritarian antecedents.</t>
  </si>
  <si>
    <t xml:space="preserve">One of several Perspectives on modern US ideology.</t>
  </si>
  <si>
    <t xml:space="preserve">PERSP_IDEO_CONSERVATIVE_INTELLECTUAL</t>
  </si>
  <si>
    <t xml:space="preserve">Conservative intellectual reading of US ideologies</t>
  </si>
  <si>
    <t xml:space="preserve">Reading from within the US conservative intellectual tradition.</t>
  </si>
  <si>
    <t xml:space="preserve">Caldwell, Continetti, Hanson, Deneen, contemporary right-of-center scholars</t>
  </si>
  <si>
    <t xml:space="preserve">Privileges conservative-tradition self-description; tends to draw left lineages back to managerialism/critical theory and right populism back to working-class realignment.</t>
  </si>
  <si>
    <t xml:space="preserve">PERSP_IDEO_LIBERTARIAN</t>
  </si>
  <si>
    <t xml:space="preserve">Libertarian reading of US ideologies</t>
  </si>
  <si>
    <t xml:space="preserve">Classical-liberal / libertarian reading.</t>
  </si>
  <si>
    <t xml:space="preserve">Cato, Reason, Mercatus tradition; Hayek/Friedman intellectual lineage</t>
  </si>
  <si>
    <t xml:space="preserve">Privileges economic-liberty axis; characterizes both major US factions as variants of statism with different priors.</t>
  </si>
  <si>
    <t xml:space="preserve">Endorsement ID</t>
  </si>
  <si>
    <t xml:space="preserve">Stance</t>
  </si>
  <si>
    <t xml:space="preserve">Override Statement</t>
  </si>
  <si>
    <t xml:space="preserve">Override Quantitative Value</t>
  </si>
  <si>
    <t xml:space="preserve">Source Weight Overrides</t>
  </si>
  <si>
    <t xml:space="preserve">END_001</t>
  </si>
  <si>
    <t xml:space="preserve">Claim</t>
  </si>
  <si>
    <t xml:space="preserve">endorses</t>
  </si>
  <si>
    <t xml:space="preserve">Reich book asserts the Steppe-into-South-Asia event.</t>
  </si>
  <si>
    <t xml:space="preserve">END_002</t>
  </si>
  <si>
    <t xml:space="preserve">NARASIMHAN_2019:1.0; REICH_CH6:0.9</t>
  </si>
  <si>
    <t xml:space="preserve">AMT reading endorses the genetic claim and its standard interpretation.</t>
  </si>
  <si>
    <t xml:space="preserve">END_003</t>
  </si>
  <si>
    <t xml:space="preserve">nuances</t>
  </si>
  <si>
    <t xml:space="preserve">Genetic Steppe signal acknowledged but interpreted as much earlier and/or bidirectional, not a 2000-1500 BCE Aryan migration.</t>
  </si>
  <si>
    <t xml:space="preserve">minimized</t>
  </si>
  <si>
    <t xml:space="preserve">NARASIMHAN_2019:0.5</t>
  </si>
  <si>
    <t xml:space="preserve">OOI Perspective accepts the signal but disputes timing and direction.</t>
  </si>
  <si>
    <t xml:space="preserve">END_004</t>
  </si>
  <si>
    <t xml:space="preserve">asserts</t>
  </si>
  <si>
    <t xml:space="preserve">Trumpism descends from / influenced by: nativism (mid-20thC), paleoconservatism, John Birch, Wallace 1968, talk radio populism, evangelical political mobilization (post-1979), authoritarian-personalist tendencies.</t>
  </si>
  <si>
    <t xml:space="preserve">Lineage tree per this Perspective; rendered when active.</t>
  </si>
  <si>
    <t xml:space="preserve">END_005</t>
  </si>
  <si>
    <t xml:space="preserve">Trumpism descends from / influenced by: Jacksonian populism, working-class realignment (post-NAFTA), Buchananite paleoconservatism, post-2008 anti-establishment sentiment, immigration-restrictionism.</t>
  </si>
  <si>
    <t xml:space="preserve">Different lineage tree, same trait. Side-by-side renders both.</t>
  </si>
  <si>
    <t xml:space="preserve">END_006</t>
  </si>
  <si>
    <t xml:space="preserve">Trumpism descends from / influenced by: protectionism, executive populism, rejection of post-WWII liberal-international consensus (right-statist variant).</t>
  </si>
  <si>
    <t xml:space="preserve">END_007</t>
  </si>
  <si>
    <t xml:space="preserve">Descends from: Enlightenment liberalism, New Deal liberalism, civil rights movement, New Left, second-wave feminism, post-2008 identity-politics scholarship.</t>
  </si>
  <si>
    <t xml:space="preserve">END_008</t>
  </si>
  <si>
    <t xml:space="preserve">Descends from: Progressive Era managerialism, Frankfurt School / critical theory transmission via academia, post-1968 New Left, post-2008 social-media-amplified activist culture.</t>
  </si>
  <si>
    <t xml:space="preserve">Geo ID</t>
  </si>
  <si>
    <t xml:space="preserve">Parent Geo ID</t>
  </si>
  <si>
    <t xml:space="preserve">GEO_PONTIC_CASPIAN_STEPPE</t>
  </si>
  <si>
    <t xml:space="preserve">steppe</t>
  </si>
  <si>
    <t xml:space="preserve">30,42,55,52</t>
  </si>
  <si>
    <t xml:space="preserve">GEO_EURASIA</t>
  </si>
  <si>
    <t xml:space="preserve">Yamnaya homeland.</t>
  </si>
  <si>
    <t xml:space="preserve">GEO_ANATOLIA</t>
  </si>
  <si>
    <t xml:space="preserve">subregion</t>
  </si>
  <si>
    <t xml:space="preserve">26,36,44,42</t>
  </si>
  <si>
    <t xml:space="preserve">GEO_W_ASIA</t>
  </si>
  <si>
    <t xml:space="preserve">EEF source region.</t>
  </si>
  <si>
    <t xml:space="preserve">GEO_BERINGIA</t>
  </si>
  <si>
    <t xml:space="preserve">Beringia</t>
  </si>
  <si>
    <t xml:space="preserve">macro-region</t>
  </si>
  <si>
    <t xml:space="preserve">Crosses antimeridian; handle carefully.</t>
  </si>
  <si>
    <t xml:space="preserve">GEO_SF_BAY</t>
  </si>
  <si>
    <t xml:space="preserve">San Francisco Bay Area</t>
  </si>
  <si>
    <t xml:space="preserve">sub_national</t>
  </si>
  <si>
    <t xml:space="preserve">GEO_USA</t>
  </si>
  <si>
    <t xml:space="preserve">GEO_US_SOUTH</t>
  </si>
  <si>
    <t xml:space="preserve">US South</t>
  </si>
  <si>
    <t xml:space="preserve">continent</t>
  </si>
  <si>
    <t xml:space="preserve">-10,10,180,75</t>
  </si>
  <si>
    <t xml:space="preserve">Western Asia</t>
  </si>
  <si>
    <t xml:space="preserve">26,12,63,48</t>
  </si>
  <si>
    <t xml:space="preserve">United States of America</t>
  </si>
  <si>
    <t xml:space="preserve">nation_state</t>
  </si>
  <si>
    <t xml:space="preserve">-125,24,-66,49</t>
  </si>
  <si>
    <t xml:space="preserve">Entity</t>
  </si>
  <si>
    <t xml:space="preserve">Prefix / Pattern</t>
  </si>
  <si>
    <t xml:space="preserve">Examples</t>
  </si>
  <si>
    <t xml:space="preserve">Trait - genetic</t>
  </si>
  <si>
    <t xml:space="preserve">UPPER_SNAKE, no prefix</t>
  </si>
  <si>
    <t xml:space="preserve">ANE, EEF, WHG, YAMNAYA, ASI, ANI</t>
  </si>
  <si>
    <t xml:space="preserve">Trait - technological</t>
  </si>
  <si>
    <t xml:space="preserve">TECH_&lt;short&gt;</t>
  </si>
  <si>
    <t xml:space="preserve">TECH_AGRICULTURE_FERTILE_CRESCENT, TECH_BRONZE_METALLURGY</t>
  </si>
  <si>
    <t xml:space="preserve">Trait - linguistic</t>
  </si>
  <si>
    <t xml:space="preserve">LING_&lt;short&gt;</t>
  </si>
  <si>
    <t xml:space="preserve">LING_PROTO_INDO_EUROPEAN, LING_PROTO_DRAVIDIAN</t>
  </si>
  <si>
    <t xml:space="preserve">Trait - religious</t>
  </si>
  <si>
    <t xml:space="preserve">REL_&lt;short&gt;</t>
  </si>
  <si>
    <t xml:space="preserve">REL_PROTESTANT_REFORMATION, REL_AMERICAN_EVANGELICALISM</t>
  </si>
  <si>
    <t xml:space="preserve">Trait - ideological</t>
  </si>
  <si>
    <t xml:space="preserve">IDEO_&lt;short&gt;</t>
  </si>
  <si>
    <t xml:space="preserve">IDEO_ENLIGHTENMENT_LIBERALISM, IDEO_TRUMPISM</t>
  </si>
  <si>
    <t xml:space="preserve">REL_&lt;seq&gt;</t>
  </si>
  <si>
    <t xml:space="preserve">Carrier</t>
  </si>
  <si>
    <t xml:space="preserve">CARR_&lt;region&gt;_&lt;period&gt;</t>
  </si>
  <si>
    <t xml:space="preserve">CARR_LBK_CENTRAL_EU, CARR_SF_BAY_AREA_2025</t>
  </si>
  <si>
    <t xml:space="preserve">CarrierTraitMix</t>
  </si>
  <si>
    <t xml:space="preserve">MIX_&lt;seq&gt;</t>
  </si>
  <si>
    <t xml:space="preserve">TraitObservation</t>
  </si>
  <si>
    <t xml:space="preserve">OBS_&lt;site&gt;_&lt;trait&gt;</t>
  </si>
  <si>
    <t xml:space="preserve">OBS_STUTTGART_EEF, OBS_CORDED_YAMNAYA</t>
  </si>
  <si>
    <t xml:space="preserve">PROP_&lt;short&gt;</t>
  </si>
  <si>
    <t xml:space="preserve">PROP_YAMNAYA_INTO_EUROPE, PROP_AGRICULTURE_TO_EUROPE</t>
  </si>
  <si>
    <t xml:space="preserve">FEAT_&lt;short&gt;</t>
  </si>
  <si>
    <t xml:space="preserve">FEAT_DOGGERLAND, FEAT_BERINGIA_LAND, FEAT_GREEN_SAHARA</t>
  </si>
  <si>
    <t xml:space="preserve">PaleoclimateState</t>
  </si>
  <si>
    <t xml:space="preserve">PCS_&lt;short&gt;</t>
  </si>
  <si>
    <t xml:space="preserve">PCS_LGM_GLOBAL, PCS_AHP_NORTH_AFRICA</t>
  </si>
  <si>
    <t xml:space="preserve">Source - Reich chapter</t>
  </si>
  <si>
    <t xml:space="preserve">REICH_CH&lt;n&gt;</t>
  </si>
  <si>
    <t xml:space="preserve">REICH_CH4, REICH_CH6</t>
  </si>
  <si>
    <t xml:space="preserve">Source - paper</t>
  </si>
  <si>
    <t xml:space="preserve">&lt;FIRSTAUTHOR_YEAR&gt;</t>
  </si>
  <si>
    <t xml:space="preserve">HAAK_2015, NARASIMHAN_2019, RAGHAVAN_2014</t>
  </si>
  <si>
    <t xml:space="preserve">Source - dataset</t>
  </si>
  <si>
    <t xml:space="preserve">&lt;DATASET_NAME&gt;</t>
  </si>
  <si>
    <t xml:space="preserve">ICE6G, PMIP4</t>
  </si>
  <si>
    <t xml:space="preserve">CLM_&lt;seq&gt;</t>
  </si>
  <si>
    <t xml:space="preserve">CLM_001, CLM_002</t>
  </si>
  <si>
    <t xml:space="preserve">Perspective</t>
  </si>
  <si>
    <t xml:space="preserve">PERSP_&lt;short&gt;</t>
  </si>
  <si>
    <t xml:space="preserve">PERSP_REICH_2018, PERSP_INDIAN_OOI, PERSP_IDEO_LIBERTARIAN</t>
  </si>
  <si>
    <t xml:space="preserve">PerspectiveEndorsement</t>
  </si>
  <si>
    <t xml:space="preserve">END_&lt;seq&gt;</t>
  </si>
  <si>
    <t xml:space="preserve">Geography</t>
  </si>
  <si>
    <t xml:space="preserve">GEO_&lt;region&gt;</t>
  </si>
  <si>
    <t xml:space="preserve">GEO_ANATOLIA, GEO_PONTIC_CASPIAN_STEPPE</t>
  </si>
  <si>
    <t xml:space="preserve">Score</t>
  </si>
  <si>
    <t xml:space="preserve">Label</t>
  </si>
  <si>
    <t xml:space="preserve">Meaning</t>
  </si>
  <si>
    <t xml:space="preserve">Textbook-stable</t>
  </si>
  <si>
    <t xml:space="preserve">Replicated across multiple independent labs/methods/scholarly traditions. All major Perspectives endorse.</t>
  </si>
  <si>
    <t xml:space="preserve">Well-supported</t>
  </si>
  <si>
    <t xml:space="preserve">Strong evidence within mainstream tradition; minor refinements likely; few or no Perspectives reject.</t>
  </si>
  <si>
    <t xml:space="preserve">Working consensus</t>
  </si>
  <si>
    <t xml:space="preserve">Generally accepted within at least one major tradition but disputed across Perspectives or actively revising.</t>
  </si>
  <si>
    <t xml:space="preserve">Tentative</t>
  </si>
  <si>
    <t xml:space="preserve">Limited evidence, large error bars, or significant minority Perspectives disputing.</t>
  </si>
  <si>
    <t xml:space="preserve">Speculative / contested</t>
  </si>
  <si>
    <t xml:space="preserve">Single study, very small sample, OR Perspectives split such that no single confidence is meaningful - defer to per-Perspective view.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</si>
</sst>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 t="s">
        <v>21</v>
      </c>
    </row>
    <row r="26" customFormat="false" ht="15" hidden="false" customHeight="true" outlineLevel="0" collapsed="false">
      <c r="A26" s="3" t="s">
        <v>22</v>
      </c>
    </row>
    <row r="27" customFormat="false" ht="15" hidden="false" customHeight="true" outlineLevel="0" collapsed="false">
      <c r="A27" s="3" t="s">
        <v>23</v>
      </c>
    </row>
    <row r="28" customFormat="false" ht="15" hidden="false" customHeight="true" outlineLevel="0" collapsed="false">
      <c r="A28" s="3" t="s">
        <v>24</v>
      </c>
    </row>
    <row r="29" customFormat="false" ht="15" hidden="false" customHeight="true" outlineLevel="0" collapsed="false">
      <c r="A29" s="3" t="s">
        <v>25</v>
      </c>
    </row>
    <row r="30" customFormat="false" ht="15" hidden="false" customHeight="true" outlineLevel="0" collapsed="false">
      <c r="A30" s="3"/>
    </row>
    <row r="31" customFormat="false" ht="15" hidden="false" customHeight="true" outlineLevel="0" collapsed="false">
      <c r="A31" s="4" t="s">
        <v>26</v>
      </c>
    </row>
    <row r="32" customFormat="false" ht="15" hidden="false" customHeight="true" outlineLevel="0" collapsed="false">
      <c r="A32" s="3" t="s">
        <v>27</v>
      </c>
    </row>
    <row r="33" customFormat="false" ht="15" hidden="false" customHeight="true" outlineLevel="0" collapsed="false">
      <c r="A33" s="3" t="s">
        <v>28</v>
      </c>
    </row>
    <row r="34" customFormat="false" ht="15" hidden="false" customHeight="true" outlineLevel="0" collapsed="false">
      <c r="A34" s="3" t="s">
        <v>29</v>
      </c>
    </row>
    <row r="35" customFormat="false" ht="15" hidden="false" customHeight="true" outlineLevel="0" collapsed="false">
      <c r="A35" s="3" t="s">
        <v>30</v>
      </c>
    </row>
    <row r="36" customFormat="false" ht="15" hidden="false" customHeight="true" outlineLevel="0" collapsed="false">
      <c r="A36" s="3" t="s">
        <v>31</v>
      </c>
    </row>
    <row r="37" customFormat="false" ht="15" hidden="false" customHeight="true" outlineLevel="0" collapsed="false">
      <c r="A37" s="3" t="s">
        <v>32</v>
      </c>
    </row>
    <row r="38" customFormat="false" ht="15" hidden="false" customHeight="true" outlineLevel="0" collapsed="false">
      <c r="A38" s="3" t="s">
        <v>33</v>
      </c>
    </row>
    <row r="39" customFormat="false" ht="15" hidden="false" customHeight="true" outlineLevel="0" collapsed="false">
      <c r="A39" s="3" t="s">
        <v>34</v>
      </c>
    </row>
    <row r="40" customFormat="false" ht="15" hidden="false" customHeight="true" outlineLevel="0" collapsed="false">
      <c r="A40" s="3" t="s">
        <v>35</v>
      </c>
    </row>
    <row r="41" customFormat="false" ht="15" hidden="false" customHeight="true" outlineLevel="0" collapsed="false">
      <c r="A41" s="3" t="s">
        <v>36</v>
      </c>
    </row>
    <row r="42" customFormat="false" ht="15" hidden="false" customHeight="true" outlineLevel="0" collapsed="false">
      <c r="A42" s="3" t="s">
        <v>37</v>
      </c>
    </row>
    <row r="43" customFormat="false" ht="15" hidden="false" customHeight="true" outlineLevel="0" collapsed="false">
      <c r="A43" s="3" t="s">
        <v>38</v>
      </c>
    </row>
    <row r="44" customFormat="false" ht="15" hidden="false" customHeight="true" outlineLevel="0" collapsed="false">
      <c r="A44" s="3" t="s">
        <v>39</v>
      </c>
    </row>
    <row r="45" customFormat="false" ht="15" hidden="false" customHeight="true" outlineLevel="0" collapsed="false">
      <c r="A45" s="3" t="s">
        <v>40</v>
      </c>
    </row>
    <row r="46" customFormat="false" ht="15" hidden="false" customHeight="true" outlineLevel="0" collapsed="false">
      <c r="A46" s="3" t="s">
        <v>41</v>
      </c>
    </row>
    <row r="47" customFormat="false" ht="15" hidden="false" customHeight="true" outlineLevel="0" collapsed="false">
      <c r="A47" s="3" t="s">
        <v>42</v>
      </c>
    </row>
    <row r="48" customFormat="false" ht="15" hidden="false" customHeight="true" outlineLevel="0" collapsed="false">
      <c r="A48" s="3"/>
    </row>
    <row r="49" customFormat="false" ht="15" hidden="false" customHeight="true" outlineLevel="0" collapsed="false">
      <c r="A49" s="4" t="s">
        <v>43</v>
      </c>
    </row>
    <row r="50" customFormat="false" ht="15" hidden="false" customHeight="true" outlineLevel="0" collapsed="false">
      <c r="A50" s="3" t="s">
        <v>44</v>
      </c>
    </row>
    <row r="51" customFormat="false" ht="15" hidden="false" customHeight="true" outlineLevel="0" collapsed="false">
      <c r="A51" s="3" t="s">
        <v>45</v>
      </c>
    </row>
    <row r="52" customFormat="false" ht="15" hidden="false" customHeight="true" outlineLevel="0" collapsed="false">
      <c r="A52" s="3" t="s">
        <v>46</v>
      </c>
    </row>
    <row r="53" customFormat="false" ht="15" hidden="false" customHeight="true" outlineLevel="0" collapsed="false">
      <c r="A53" s="3" t="s">
        <v>47</v>
      </c>
    </row>
    <row r="54" customFormat="false" ht="15" hidden="false" customHeight="true" outlineLevel="0" collapsed="false">
      <c r="A54" s="3" t="s">
        <v>48</v>
      </c>
    </row>
    <row r="55" customFormat="false" ht="15" hidden="false" customHeight="true" outlineLevel="0" collapsed="false">
      <c r="A55" s="3"/>
    </row>
    <row r="56" customFormat="false" ht="15" hidden="false" customHeight="true" outlineLevel="0" collapsed="false">
      <c r="A56" s="4" t="s">
        <v>49</v>
      </c>
    </row>
    <row r="57" customFormat="false" ht="15" hidden="false" customHeight="true" outlineLevel="0" collapsed="false">
      <c r="A57" s="3" t="s">
        <v>50</v>
      </c>
    </row>
    <row r="58" customFormat="false" ht="15" hidden="false" customHeight="true" outlineLevel="0" collapsed="false">
      <c r="A58" s="3" t="s">
        <v>51</v>
      </c>
    </row>
    <row r="59" customFormat="false" ht="15" hidden="false" customHeight="true" outlineLevel="0" collapsed="false">
      <c r="A59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5" min="4" style="1" width="38"/>
    <col collapsed="false" customWidth="true" hidden="false" outlineLevel="0" max="6" min="6" style="1" width="14"/>
    <col collapsed="false" customWidth="true" hidden="false" outlineLevel="0" max="7" min="7" style="1" width="35"/>
  </cols>
  <sheetData>
    <row r="1" customFormat="false" ht="30" hidden="false" customHeight="true" outlineLevel="0" collapsed="false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</row>
    <row r="2" customFormat="false" ht="15" hidden="false" customHeight="true" outlineLevel="0" collapsed="false">
      <c r="A2" s="6" t="s">
        <v>60</v>
      </c>
      <c r="B2" s="6" t="s">
        <v>61</v>
      </c>
      <c r="C2" s="6"/>
      <c r="D2" s="6"/>
      <c r="E2" s="6"/>
      <c r="F2" s="6"/>
      <c r="G2" s="6"/>
    </row>
    <row r="3" customFormat="false" ht="15" hidden="false" customHeight="true" outlineLevel="0" collapsed="false">
      <c r="A3" s="7" t="n">
        <v>1</v>
      </c>
      <c r="B3" s="7" t="s">
        <v>62</v>
      </c>
      <c r="C3" s="7" t="s">
        <v>63</v>
      </c>
      <c r="D3" s="7" t="s">
        <v>64</v>
      </c>
      <c r="E3" s="7" t="s">
        <v>65</v>
      </c>
      <c r="F3" s="7" t="s">
        <v>66</v>
      </c>
      <c r="G3" s="7" t="s">
        <v>67</v>
      </c>
    </row>
    <row r="4" customFormat="false" ht="15" hidden="false" customHeight="true" outlineLevel="0" collapsed="false">
      <c r="A4" s="7" t="n">
        <v>2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66</v>
      </c>
      <c r="G4" s="7"/>
    </row>
    <row r="5" customFormat="false" ht="15" hidden="false" customHeight="true" outlineLevel="0" collapsed="false">
      <c r="A5" s="7" t="n">
        <v>3</v>
      </c>
      <c r="B5" s="7" t="s">
        <v>72</v>
      </c>
      <c r="C5" s="7" t="s">
        <v>63</v>
      </c>
      <c r="D5" s="7" t="s">
        <v>73</v>
      </c>
      <c r="E5" s="7" t="s">
        <v>74</v>
      </c>
      <c r="F5" s="7" t="s">
        <v>66</v>
      </c>
      <c r="G5" s="7" t="s">
        <v>75</v>
      </c>
    </row>
    <row r="6" customFormat="false" ht="15" hidden="false" customHeight="true" outlineLevel="0" collapsed="false">
      <c r="A6" s="6" t="s">
        <v>76</v>
      </c>
      <c r="B6" s="6" t="s">
        <v>77</v>
      </c>
      <c r="C6" s="6"/>
      <c r="D6" s="6"/>
      <c r="E6" s="6"/>
      <c r="F6" s="6"/>
      <c r="G6" s="6"/>
    </row>
    <row r="7" customFormat="false" ht="23.25" hidden="false" customHeight="true" outlineLevel="0" collapsed="false">
      <c r="A7" s="7" t="n">
        <v>4</v>
      </c>
      <c r="B7" s="7" t="s">
        <v>78</v>
      </c>
      <c r="C7" s="7" t="s">
        <v>79</v>
      </c>
      <c r="D7" s="7" t="s">
        <v>80</v>
      </c>
      <c r="E7" s="7" t="s">
        <v>81</v>
      </c>
      <c r="F7" s="7" t="s">
        <v>66</v>
      </c>
      <c r="G7" s="7" t="s">
        <v>82</v>
      </c>
    </row>
    <row r="8" customFormat="false" ht="15" hidden="false" customHeight="true" outlineLevel="0" collapsed="false">
      <c r="A8" s="7" t="n">
        <v>5</v>
      </c>
      <c r="B8" s="7" t="s">
        <v>83</v>
      </c>
      <c r="C8" s="7" t="s">
        <v>79</v>
      </c>
      <c r="D8" s="7" t="s">
        <v>84</v>
      </c>
      <c r="E8" s="7" t="s">
        <v>85</v>
      </c>
      <c r="F8" s="7" t="s">
        <v>66</v>
      </c>
      <c r="G8" s="7" t="s">
        <v>86</v>
      </c>
    </row>
    <row r="9" customFormat="false" ht="23.25" hidden="false" customHeight="true" outlineLevel="0" collapsed="false">
      <c r="A9" s="7" t="n">
        <v>6</v>
      </c>
      <c r="B9" s="7" t="s">
        <v>87</v>
      </c>
      <c r="C9" s="7" t="s">
        <v>88</v>
      </c>
      <c r="D9" s="7" t="s">
        <v>89</v>
      </c>
      <c r="E9" s="7" t="s">
        <v>90</v>
      </c>
      <c r="F9" s="7" t="s">
        <v>66</v>
      </c>
      <c r="G9" s="7" t="s">
        <v>91</v>
      </c>
    </row>
    <row r="10" customFormat="false" ht="15" hidden="false" customHeight="true" outlineLevel="0" collapsed="false">
      <c r="A10" s="7" t="n">
        <v>7</v>
      </c>
      <c r="B10" s="7" t="s">
        <v>92</v>
      </c>
      <c r="C10" s="7" t="s">
        <v>93</v>
      </c>
      <c r="D10" s="7" t="s">
        <v>94</v>
      </c>
      <c r="E10" s="7" t="s">
        <v>95</v>
      </c>
      <c r="F10" s="7" t="s">
        <v>66</v>
      </c>
      <c r="G10" s="7"/>
    </row>
    <row r="11" customFormat="false" ht="15" hidden="false" customHeight="true" outlineLevel="0" collapsed="false">
      <c r="A11" s="7" t="n">
        <v>8</v>
      </c>
      <c r="B11" s="7" t="s">
        <v>96</v>
      </c>
      <c r="C11" s="7" t="s">
        <v>97</v>
      </c>
      <c r="D11" s="7" t="s">
        <v>98</v>
      </c>
      <c r="E11" s="7" t="s">
        <v>99</v>
      </c>
      <c r="F11" s="7" t="s">
        <v>66</v>
      </c>
      <c r="G11" s="7" t="s">
        <v>100</v>
      </c>
    </row>
    <row r="12" customFormat="false" ht="23.25" hidden="false" customHeight="true" outlineLevel="0" collapsed="false">
      <c r="A12" s="7" t="n">
        <v>9</v>
      </c>
      <c r="B12" s="7" t="s">
        <v>101</v>
      </c>
      <c r="C12" s="7" t="s">
        <v>102</v>
      </c>
      <c r="D12" s="7" t="s">
        <v>103</v>
      </c>
      <c r="E12" s="7" t="s">
        <v>104</v>
      </c>
      <c r="F12" s="7" t="s">
        <v>66</v>
      </c>
      <c r="G12" s="7" t="s">
        <v>105</v>
      </c>
    </row>
    <row r="13" customFormat="false" ht="15" hidden="false" customHeight="true" outlineLevel="0" collapsed="false">
      <c r="A13" s="6" t="s">
        <v>106</v>
      </c>
      <c r="B13" s="6" t="s">
        <v>107</v>
      </c>
      <c r="C13" s="6"/>
      <c r="D13" s="6"/>
      <c r="E13" s="6"/>
      <c r="F13" s="6"/>
      <c r="G13" s="6"/>
    </row>
    <row r="14" customFormat="false" ht="15" hidden="false" customHeight="true" outlineLevel="0" collapsed="false">
      <c r="A14" s="7" t="n">
        <v>10</v>
      </c>
      <c r="B14" s="7" t="s">
        <v>108</v>
      </c>
      <c r="C14" s="7" t="s">
        <v>63</v>
      </c>
      <c r="D14" s="7" t="s">
        <v>74</v>
      </c>
      <c r="E14" s="7" t="s">
        <v>109</v>
      </c>
      <c r="F14" s="7" t="s">
        <v>66</v>
      </c>
      <c r="G14" s="7"/>
    </row>
    <row r="15" customFormat="false" ht="15" hidden="false" customHeight="true" outlineLevel="0" collapsed="false">
      <c r="A15" s="7" t="n">
        <v>11</v>
      </c>
      <c r="B15" s="7" t="s">
        <v>110</v>
      </c>
      <c r="C15" s="7" t="s">
        <v>63</v>
      </c>
      <c r="D15" s="7" t="s">
        <v>74</v>
      </c>
      <c r="E15" s="7" t="s">
        <v>74</v>
      </c>
      <c r="F15" s="7" t="s">
        <v>66</v>
      </c>
      <c r="G15" s="7" t="s">
        <v>111</v>
      </c>
    </row>
    <row r="16" customFormat="false" ht="15" hidden="false" customHeight="true" outlineLevel="0" collapsed="false">
      <c r="A16" s="7" t="n">
        <v>12</v>
      </c>
      <c r="B16" s="7" t="s">
        <v>112</v>
      </c>
      <c r="C16" s="7" t="s">
        <v>63</v>
      </c>
      <c r="D16" s="7" t="s">
        <v>74</v>
      </c>
      <c r="E16" s="7" t="s">
        <v>74</v>
      </c>
      <c r="F16" s="7" t="s">
        <v>66</v>
      </c>
      <c r="G16" s="7" t="s">
        <v>113</v>
      </c>
    </row>
  </sheetData>
  <dataValidations count="1">
    <dataValidation allowBlank="true" errorStyle="stop" operator="between" showDropDown="false" showErrorMessage="false" showInputMessage="false" sqref="F2:F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6" min="5" style="1" width="18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30"/>
    <col collapsed="false" customWidth="true" hidden="false" outlineLevel="0" max="11" min="11" style="1" width="50"/>
    <col collapsed="false" customWidth="true" hidden="false" outlineLevel="0" max="12" min="12" style="1" width="18"/>
    <col collapsed="false" customWidth="true" hidden="false" outlineLevel="0" max="14" min="13" style="1" width="14"/>
    <col collapsed="false" customWidth="true" hidden="false" outlineLevel="0" max="15" min="15" style="1" width="32"/>
  </cols>
  <sheetData>
    <row r="1" customFormat="false" ht="30" hidden="false" customHeight="true" outlineLevel="0" collapsed="false">
      <c r="A1" s="5" t="s">
        <v>114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59</v>
      </c>
    </row>
    <row r="2" customFormat="false" ht="34.5" hidden="false" customHeight="true" outlineLevel="0" collapsed="false">
      <c r="A2" s="8" t="s">
        <v>128</v>
      </c>
      <c r="B2" s="8" t="s">
        <v>129</v>
      </c>
      <c r="C2" s="8" t="s">
        <v>130</v>
      </c>
      <c r="D2" s="8" t="s">
        <v>131</v>
      </c>
      <c r="E2" s="8" t="n">
        <v>-24000</v>
      </c>
      <c r="F2" s="8" t="n">
        <v>0</v>
      </c>
      <c r="G2" s="8" t="s">
        <v>132</v>
      </c>
      <c r="H2" s="8" t="n">
        <v>53.5</v>
      </c>
      <c r="I2" s="8" t="n">
        <v>104</v>
      </c>
      <c r="J2" s="8" t="s">
        <v>133</v>
      </c>
      <c r="K2" s="8" t="s">
        <v>134</v>
      </c>
      <c r="L2" s="8" t="s">
        <v>135</v>
      </c>
      <c r="M2" s="8" t="n">
        <v>5</v>
      </c>
      <c r="N2" s="9" t="b">
        <f aca="false">FALSE()</f>
        <v>0</v>
      </c>
      <c r="O2" s="8" t="s">
        <v>136</v>
      </c>
    </row>
    <row r="3" customFormat="false" ht="23.25" hidden="false" customHeight="true" outlineLevel="0" collapsed="false">
      <c r="A3" s="8" t="s">
        <v>137</v>
      </c>
      <c r="B3" s="8" t="s">
        <v>129</v>
      </c>
      <c r="C3" s="8" t="s">
        <v>138</v>
      </c>
      <c r="D3" s="8" t="s">
        <v>139</v>
      </c>
      <c r="E3" s="8" t="n">
        <v>-7000</v>
      </c>
      <c r="F3" s="8" t="n">
        <v>-3000</v>
      </c>
      <c r="G3" s="8" t="s">
        <v>140</v>
      </c>
      <c r="H3" s="8" t="n">
        <v>39</v>
      </c>
      <c r="I3" s="8" t="n">
        <v>35</v>
      </c>
      <c r="J3" s="8" t="s">
        <v>141</v>
      </c>
      <c r="K3" s="8" t="s">
        <v>142</v>
      </c>
      <c r="L3" s="8" t="s">
        <v>143</v>
      </c>
      <c r="M3" s="8" t="n">
        <v>5</v>
      </c>
      <c r="N3" s="9" t="b">
        <f aca="false">FALSE()</f>
        <v>0</v>
      </c>
      <c r="O3" s="8"/>
    </row>
    <row r="4" customFormat="false" ht="34.5" hidden="false" customHeight="true" outlineLevel="0" collapsed="false">
      <c r="A4" s="8" t="s">
        <v>144</v>
      </c>
      <c r="B4" s="8" t="s">
        <v>129</v>
      </c>
      <c r="C4" s="8" t="s">
        <v>145</v>
      </c>
      <c r="D4" s="8" t="s">
        <v>146</v>
      </c>
      <c r="E4" s="8" t="n">
        <v>-3300</v>
      </c>
      <c r="F4" s="8" t="n">
        <v>-2500</v>
      </c>
      <c r="G4" s="8" t="s">
        <v>147</v>
      </c>
      <c r="H4" s="8" t="n">
        <v>47</v>
      </c>
      <c r="I4" s="8" t="n">
        <v>40</v>
      </c>
      <c r="J4" s="8" t="s">
        <v>148</v>
      </c>
      <c r="K4" s="8" t="s">
        <v>149</v>
      </c>
      <c r="L4" s="8" t="s">
        <v>150</v>
      </c>
      <c r="M4" s="8" t="n">
        <v>5</v>
      </c>
      <c r="N4" s="9" t="b">
        <f aca="false">TRUE()</f>
        <v>1</v>
      </c>
      <c r="O4" s="8" t="s">
        <v>151</v>
      </c>
    </row>
    <row r="5" customFormat="false" ht="23.25" hidden="false" customHeight="true" outlineLevel="0" collapsed="false">
      <c r="A5" s="8" t="s">
        <v>152</v>
      </c>
      <c r="B5" s="8" t="s">
        <v>129</v>
      </c>
      <c r="C5" s="8" t="s">
        <v>153</v>
      </c>
      <c r="D5" s="8" t="s">
        <v>152</v>
      </c>
      <c r="E5" s="8" t="n">
        <v>-10000</v>
      </c>
      <c r="F5" s="8" t="n">
        <v>-2000</v>
      </c>
      <c r="G5" s="8" t="s">
        <v>88</v>
      </c>
      <c r="H5" s="8" t="n">
        <v>13</v>
      </c>
      <c r="I5" s="8" t="n">
        <v>78</v>
      </c>
      <c r="J5" s="8" t="s">
        <v>154</v>
      </c>
      <c r="K5" s="8" t="s">
        <v>155</v>
      </c>
      <c r="L5" s="8" t="s">
        <v>156</v>
      </c>
      <c r="M5" s="8" t="n">
        <v>4</v>
      </c>
      <c r="N5" s="9" t="b">
        <f aca="false">FALSE()</f>
        <v>0</v>
      </c>
      <c r="O5" s="8" t="s">
        <v>157</v>
      </c>
    </row>
    <row r="6" customFormat="false" ht="23.25" hidden="false" customHeight="true" outlineLevel="0" collapsed="false">
      <c r="A6" s="8" t="s">
        <v>158</v>
      </c>
      <c r="B6" s="8" t="s">
        <v>159</v>
      </c>
      <c r="C6" s="8" t="s">
        <v>160</v>
      </c>
      <c r="D6" s="8" t="s">
        <v>161</v>
      </c>
      <c r="E6" s="8" t="n">
        <v>-10000</v>
      </c>
      <c r="F6" s="8" t="n">
        <v>0</v>
      </c>
      <c r="G6" s="8" t="s">
        <v>162</v>
      </c>
      <c r="H6" s="8" t="n">
        <v>33</v>
      </c>
      <c r="I6" s="8" t="n">
        <v>38</v>
      </c>
      <c r="J6" s="8" t="s">
        <v>163</v>
      </c>
      <c r="K6" s="8" t="s">
        <v>164</v>
      </c>
      <c r="L6" s="8"/>
      <c r="M6" s="8" t="n">
        <v>5</v>
      </c>
      <c r="N6" s="9" t="b">
        <f aca="false">FALSE()</f>
        <v>0</v>
      </c>
      <c r="O6" s="8" t="s">
        <v>165</v>
      </c>
    </row>
    <row r="7" customFormat="false" ht="23.25" hidden="false" customHeight="true" outlineLevel="0" collapsed="false">
      <c r="A7" s="8" t="s">
        <v>166</v>
      </c>
      <c r="B7" s="8" t="s">
        <v>159</v>
      </c>
      <c r="C7" s="8" t="s">
        <v>167</v>
      </c>
      <c r="D7" s="8" t="s">
        <v>168</v>
      </c>
      <c r="E7" s="8" t="n">
        <v>-3300</v>
      </c>
      <c r="F7" s="8" t="n">
        <v>0</v>
      </c>
      <c r="G7" s="8" t="s">
        <v>169</v>
      </c>
      <c r="H7" s="8" t="n">
        <v>39</v>
      </c>
      <c r="I7" s="8" t="n">
        <v>38</v>
      </c>
      <c r="J7" s="8" t="s">
        <v>170</v>
      </c>
      <c r="K7" s="8" t="s">
        <v>171</v>
      </c>
      <c r="L7" s="8"/>
      <c r="M7" s="8" t="n">
        <v>5</v>
      </c>
      <c r="N7" s="9" t="b">
        <f aca="false">FALSE()</f>
        <v>0</v>
      </c>
      <c r="O7" s="8"/>
    </row>
    <row r="8" customFormat="false" ht="45.75" hidden="false" customHeight="true" outlineLevel="0" collapsed="false">
      <c r="A8" s="8" t="s">
        <v>172</v>
      </c>
      <c r="B8" s="8" t="s">
        <v>173</v>
      </c>
      <c r="C8" s="8" t="s">
        <v>174</v>
      </c>
      <c r="D8" s="8" t="s">
        <v>175</v>
      </c>
      <c r="E8" s="8" t="n">
        <v>-4500</v>
      </c>
      <c r="F8" s="8" t="n">
        <v>-2500</v>
      </c>
      <c r="G8" s="8" t="s">
        <v>176</v>
      </c>
      <c r="H8" s="8" t="n">
        <v>47</v>
      </c>
      <c r="I8" s="8" t="n">
        <v>40</v>
      </c>
      <c r="J8" s="8" t="s">
        <v>177</v>
      </c>
      <c r="K8" s="8" t="s">
        <v>178</v>
      </c>
      <c r="L8" s="8"/>
      <c r="M8" s="8" t="n">
        <v>4</v>
      </c>
      <c r="N8" s="9" t="b">
        <f aca="false">TRUE()</f>
        <v>1</v>
      </c>
      <c r="O8" s="8" t="s">
        <v>179</v>
      </c>
    </row>
    <row r="9" customFormat="false" ht="23.25" hidden="false" customHeight="true" outlineLevel="0" collapsed="false">
      <c r="A9" s="8" t="s">
        <v>180</v>
      </c>
      <c r="B9" s="8" t="s">
        <v>181</v>
      </c>
      <c r="C9" s="8" t="s">
        <v>182</v>
      </c>
      <c r="D9" s="8" t="s">
        <v>183</v>
      </c>
      <c r="E9" s="8" t="n">
        <v>1517</v>
      </c>
      <c r="F9" s="8" t="n">
        <v>0</v>
      </c>
      <c r="G9" s="8" t="s">
        <v>184</v>
      </c>
      <c r="H9" s="8" t="n">
        <v>51.87</v>
      </c>
      <c r="I9" s="8" t="n">
        <v>12.65</v>
      </c>
      <c r="J9" s="8" t="s">
        <v>185</v>
      </c>
      <c r="K9" s="8" t="s">
        <v>186</v>
      </c>
      <c r="L9" s="8"/>
      <c r="M9" s="8" t="n">
        <v>5</v>
      </c>
      <c r="N9" s="9" t="b">
        <f aca="false">FALSE()</f>
        <v>0</v>
      </c>
      <c r="O9" s="8"/>
    </row>
    <row r="10" customFormat="false" ht="34.5" hidden="false" customHeight="true" outlineLevel="0" collapsed="false">
      <c r="A10" s="8" t="s">
        <v>187</v>
      </c>
      <c r="B10" s="8" t="s">
        <v>181</v>
      </c>
      <c r="C10" s="8" t="s">
        <v>188</v>
      </c>
      <c r="D10" s="8" t="s">
        <v>189</v>
      </c>
      <c r="E10" s="8" t="n">
        <v>1730</v>
      </c>
      <c r="F10" s="8" t="n">
        <v>0</v>
      </c>
      <c r="G10" s="8" t="s">
        <v>190</v>
      </c>
      <c r="H10" s="8" t="n">
        <v>40</v>
      </c>
      <c r="I10" s="8" t="n">
        <v>-77</v>
      </c>
      <c r="J10" s="8" t="s">
        <v>191</v>
      </c>
      <c r="K10" s="8" t="s">
        <v>192</v>
      </c>
      <c r="L10" s="8"/>
      <c r="M10" s="8" t="n">
        <v>4</v>
      </c>
      <c r="N10" s="9" t="b">
        <f aca="false">TRUE()</f>
        <v>1</v>
      </c>
      <c r="O10" s="8" t="s">
        <v>193</v>
      </c>
    </row>
    <row r="11" customFormat="false" ht="23.25" hidden="false" customHeight="true" outlineLevel="0" collapsed="false">
      <c r="A11" s="8" t="s">
        <v>194</v>
      </c>
      <c r="B11" s="8" t="s">
        <v>195</v>
      </c>
      <c r="C11" s="8" t="s">
        <v>196</v>
      </c>
      <c r="D11" s="8" t="s">
        <v>197</v>
      </c>
      <c r="E11" s="8" t="n">
        <v>1680</v>
      </c>
      <c r="F11" s="8" t="n">
        <v>0</v>
      </c>
      <c r="G11" s="8" t="s">
        <v>198</v>
      </c>
      <c r="H11" s="8" t="n">
        <v>51</v>
      </c>
      <c r="I11" s="8" t="n">
        <v>2</v>
      </c>
      <c r="J11" s="8" t="s">
        <v>199</v>
      </c>
      <c r="K11" s="8" t="s">
        <v>200</v>
      </c>
      <c r="L11" s="8"/>
      <c r="M11" s="8" t="n">
        <v>5</v>
      </c>
      <c r="N11" s="9" t="b">
        <f aca="false">FALSE()</f>
        <v>0</v>
      </c>
      <c r="O11" s="8"/>
    </row>
    <row r="12" customFormat="false" ht="34.5" hidden="false" customHeight="true" outlineLevel="0" collapsed="false">
      <c r="A12" s="8" t="s">
        <v>201</v>
      </c>
      <c r="B12" s="8" t="s">
        <v>195</v>
      </c>
      <c r="C12" s="8" t="s">
        <v>202</v>
      </c>
      <c r="D12" s="8" t="s">
        <v>203</v>
      </c>
      <c r="E12" s="8" t="n">
        <v>2008</v>
      </c>
      <c r="F12" s="8" t="n">
        <v>0</v>
      </c>
      <c r="G12" s="8" t="s">
        <v>204</v>
      </c>
      <c r="H12" s="8" t="n">
        <v>39</v>
      </c>
      <c r="I12" s="8" t="n">
        <v>-98</v>
      </c>
      <c r="J12" s="8" t="s">
        <v>205</v>
      </c>
      <c r="K12" s="8" t="s">
        <v>206</v>
      </c>
      <c r="L12" s="8"/>
      <c r="M12" s="8" t="n">
        <v>3</v>
      </c>
      <c r="N12" s="9" t="b">
        <f aca="false">TRUE()</f>
        <v>1</v>
      </c>
      <c r="O12" s="8" t="s">
        <v>207</v>
      </c>
    </row>
    <row r="13" customFormat="false" ht="34.5" hidden="false" customHeight="true" outlineLevel="0" collapsed="false">
      <c r="A13" s="8" t="s">
        <v>208</v>
      </c>
      <c r="B13" s="8" t="s">
        <v>195</v>
      </c>
      <c r="C13" s="8" t="s">
        <v>209</v>
      </c>
      <c r="D13" s="8" t="s">
        <v>210</v>
      </c>
      <c r="E13" s="8" t="n">
        <v>2015</v>
      </c>
      <c r="F13" s="8" t="n">
        <v>0</v>
      </c>
      <c r="G13" s="8" t="s">
        <v>204</v>
      </c>
      <c r="H13" s="8" t="n">
        <v>39</v>
      </c>
      <c r="I13" s="8" t="n">
        <v>-98</v>
      </c>
      <c r="J13" s="8" t="s">
        <v>211</v>
      </c>
      <c r="K13" s="8" t="s">
        <v>212</v>
      </c>
      <c r="L13" s="8"/>
      <c r="M13" s="8" t="n">
        <v>3</v>
      </c>
      <c r="N13" s="9" t="b">
        <f aca="false">TRUE()</f>
        <v>1</v>
      </c>
      <c r="O13" s="8" t="s">
        <v>207</v>
      </c>
    </row>
    <row r="14" customFormat="false" ht="15" hidden="false" customHeight="true" outlineLevel="0" collapsed="false">
      <c r="A14" s="8" t="s">
        <v>213</v>
      </c>
      <c r="B14" s="8" t="s">
        <v>129</v>
      </c>
      <c r="C14" s="8" t="s">
        <v>214</v>
      </c>
      <c r="D14" s="8" t="s">
        <v>213</v>
      </c>
      <c r="E14" s="8" t="n">
        <v>-14000</v>
      </c>
      <c r="F14" s="8" t="n">
        <v>-4000</v>
      </c>
      <c r="G14" s="8" t="s">
        <v>198</v>
      </c>
      <c r="H14" s="8" t="n">
        <v>50</v>
      </c>
      <c r="I14" s="8" t="n">
        <v>8</v>
      </c>
      <c r="J14" s="8" t="s">
        <v>215</v>
      </c>
      <c r="K14" s="8" t="s">
        <v>216</v>
      </c>
      <c r="L14" s="8" t="s">
        <v>143</v>
      </c>
      <c r="M14" s="8" t="n">
        <v>5</v>
      </c>
      <c r="N14" s="9" t="b">
        <f aca="false">FALSE()</f>
        <v>0</v>
      </c>
      <c r="O14" s="8" t="s">
        <v>217</v>
      </c>
    </row>
    <row r="15" customFormat="false" ht="15" hidden="false" customHeight="true" outlineLevel="0" collapsed="false">
      <c r="A15" s="8" t="s">
        <v>218</v>
      </c>
      <c r="B15" s="8" t="s">
        <v>129</v>
      </c>
      <c r="C15" s="8" t="s">
        <v>219</v>
      </c>
      <c r="D15" s="8" t="s">
        <v>218</v>
      </c>
      <c r="E15" s="8" t="n">
        <v>-10000</v>
      </c>
      <c r="F15" s="8" t="n">
        <v>-3000</v>
      </c>
      <c r="G15" s="8" t="s">
        <v>220</v>
      </c>
      <c r="H15" s="8" t="n">
        <v>60</v>
      </c>
      <c r="I15" s="8" t="n">
        <v>35</v>
      </c>
      <c r="J15" s="8" t="s">
        <v>221</v>
      </c>
      <c r="K15" s="8" t="s">
        <v>222</v>
      </c>
      <c r="L15" s="8" t="s">
        <v>223</v>
      </c>
      <c r="M15" s="8" t="n">
        <v>5</v>
      </c>
      <c r="N15" s="9" t="b">
        <f aca="false">FALSE()</f>
        <v>0</v>
      </c>
      <c r="O15" s="8"/>
    </row>
    <row r="16" customFormat="false" ht="15" hidden="false" customHeight="true" outlineLevel="0" collapsed="false">
      <c r="A16" s="8" t="s">
        <v>224</v>
      </c>
      <c r="B16" s="8" t="s">
        <v>129</v>
      </c>
      <c r="C16" s="8" t="s">
        <v>225</v>
      </c>
      <c r="D16" s="8" t="s">
        <v>224</v>
      </c>
      <c r="E16" s="8" t="n">
        <v>-13000</v>
      </c>
      <c r="F16" s="8" t="n">
        <v>-4000</v>
      </c>
      <c r="G16" s="8" t="s">
        <v>226</v>
      </c>
      <c r="H16" s="8" t="n">
        <v>42</v>
      </c>
      <c r="I16" s="8" t="n">
        <v>44</v>
      </c>
      <c r="J16" s="8" t="s">
        <v>227</v>
      </c>
      <c r="K16" s="8" t="s">
        <v>228</v>
      </c>
      <c r="L16" s="8" t="s">
        <v>229</v>
      </c>
      <c r="M16" s="8" t="n">
        <v>5</v>
      </c>
      <c r="N16" s="9" t="b">
        <f aca="false">FALSE()</f>
        <v>0</v>
      </c>
      <c r="O16" s="8"/>
    </row>
    <row r="17" customFormat="false" ht="15" hidden="false" customHeight="true" outlineLevel="0" collapsed="false">
      <c r="A17" s="8" t="s">
        <v>230</v>
      </c>
      <c r="B17" s="8" t="s">
        <v>129</v>
      </c>
      <c r="C17" s="8" t="s">
        <v>231</v>
      </c>
      <c r="D17" s="8" t="s">
        <v>230</v>
      </c>
      <c r="E17" s="8" t="n">
        <v>-8000</v>
      </c>
      <c r="F17" s="8" t="n">
        <v>-1000</v>
      </c>
      <c r="G17" s="8" t="s">
        <v>232</v>
      </c>
      <c r="H17" s="8" t="n">
        <v>28</v>
      </c>
      <c r="I17" s="8" t="n">
        <v>76</v>
      </c>
      <c r="J17" s="8" t="s">
        <v>154</v>
      </c>
      <c r="K17" s="8" t="s">
        <v>233</v>
      </c>
      <c r="L17" s="8" t="s">
        <v>156</v>
      </c>
      <c r="M17" s="8" t="n">
        <v>4</v>
      </c>
      <c r="N17" s="9" t="b">
        <f aca="false">FALSE()</f>
        <v>0</v>
      </c>
      <c r="O17" s="8"/>
    </row>
    <row r="18" customFormat="false" ht="15" hidden="false" customHeight="true" outlineLevel="0" collapsed="false">
      <c r="A18" s="8" t="s">
        <v>234</v>
      </c>
      <c r="B18" s="8" t="s">
        <v>129</v>
      </c>
      <c r="C18" s="8" t="s">
        <v>235</v>
      </c>
      <c r="D18" s="8" t="s">
        <v>236</v>
      </c>
      <c r="E18" s="8" t="n">
        <v>-2200</v>
      </c>
      <c r="F18" s="8" t="n">
        <v>-1200</v>
      </c>
      <c r="G18" s="8" t="s">
        <v>237</v>
      </c>
      <c r="H18" s="8" t="n">
        <v>50</v>
      </c>
      <c r="I18" s="8" t="n">
        <v>65</v>
      </c>
      <c r="J18" s="8" t="s">
        <v>238</v>
      </c>
      <c r="K18" s="8" t="s">
        <v>239</v>
      </c>
      <c r="L18" s="8" t="s">
        <v>240</v>
      </c>
      <c r="M18" s="8" t="n">
        <v>5</v>
      </c>
      <c r="N18" s="9" t="b">
        <f aca="false">TRUE()</f>
        <v>1</v>
      </c>
      <c r="O18" s="8" t="s">
        <v>241</v>
      </c>
    </row>
    <row r="19" customFormat="false" ht="15" hidden="false" customHeight="true" outlineLevel="0" collapsed="false">
      <c r="A19" s="8" t="s">
        <v>242</v>
      </c>
      <c r="B19" s="8" t="s">
        <v>129</v>
      </c>
      <c r="C19" s="8" t="s">
        <v>243</v>
      </c>
      <c r="D19" s="8" t="s">
        <v>243</v>
      </c>
      <c r="E19" s="8" t="n">
        <v>-60000</v>
      </c>
      <c r="F19" s="8" t="n">
        <v>-10000</v>
      </c>
      <c r="G19" s="8" t="s">
        <v>244</v>
      </c>
      <c r="H19" s="8" t="n">
        <v>33</v>
      </c>
      <c r="I19" s="8" t="n">
        <v>38</v>
      </c>
      <c r="J19" s="8" t="s">
        <v>245</v>
      </c>
      <c r="K19" s="8" t="s">
        <v>246</v>
      </c>
      <c r="L19" s="8" t="s">
        <v>143</v>
      </c>
      <c r="M19" s="8" t="n">
        <v>4</v>
      </c>
      <c r="N19" s="9" t="b">
        <f aca="false">FALSE()</f>
        <v>0</v>
      </c>
      <c r="O19" s="8" t="s">
        <v>247</v>
      </c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</sheetData>
  <dataValidations count="3">
    <dataValidation allowBlank="true" errorStyle="stop" operator="between" showDropDown="false" showErrorMessage="false" showInputMessage="false" sqref="M2:M500" type="whole">
      <formula1>1</formula1>
      <formula2>5</formula2>
    </dataValidation>
    <dataValidation allowBlank="true" errorStyle="stop" operator="between" showDropDown="false" showErrorMessage="false" showInputMessage="false" sqref="B2:B500" type="list">
      <formula1>"genetic,technological,linguistic,religious,ideological,artistic,institutional,material_culture,other"</formula1>
      <formula2>0</formula2>
    </dataValidation>
    <dataValidation allowBlank="true" errorStyle="stop" operator="between" showDropDown="false" showErrorMessage="false" showInputMessage="false" sqref="N2:N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3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35"/>
  </cols>
  <sheetData>
    <row r="1" customFormat="false" ht="30" hidden="false" customHeight="true" outlineLevel="0" collapsed="false">
      <c r="A1" s="5" t="s">
        <v>248</v>
      </c>
      <c r="B1" s="5" t="s">
        <v>249</v>
      </c>
      <c r="C1" s="5" t="s">
        <v>250</v>
      </c>
      <c r="D1" s="5" t="s">
        <v>251</v>
      </c>
      <c r="E1" s="5" t="s">
        <v>252</v>
      </c>
      <c r="F1" s="5" t="s">
        <v>125</v>
      </c>
      <c r="G1" s="5" t="s">
        <v>126</v>
      </c>
      <c r="H1" s="5" t="s">
        <v>59</v>
      </c>
    </row>
    <row r="2" customFormat="false" ht="15" hidden="false" customHeight="true" outlineLevel="0" collapsed="false">
      <c r="A2" s="8" t="s">
        <v>253</v>
      </c>
      <c r="B2" s="8" t="s">
        <v>144</v>
      </c>
      <c r="C2" s="8" t="s">
        <v>218</v>
      </c>
      <c r="D2" s="8" t="s">
        <v>254</v>
      </c>
      <c r="E2" s="8" t="n">
        <v>0.5</v>
      </c>
      <c r="F2" s="8" t="s">
        <v>150</v>
      </c>
      <c r="G2" s="8" t="n">
        <v>5</v>
      </c>
      <c r="H2" s="8"/>
    </row>
    <row r="3" customFormat="false" ht="15" hidden="false" customHeight="true" outlineLevel="0" collapsed="false">
      <c r="A3" s="8" t="s">
        <v>255</v>
      </c>
      <c r="B3" s="8" t="s">
        <v>144</v>
      </c>
      <c r="C3" s="8" t="s">
        <v>224</v>
      </c>
      <c r="D3" s="8" t="s">
        <v>254</v>
      </c>
      <c r="E3" s="8" t="n">
        <v>0.5</v>
      </c>
      <c r="F3" s="8" t="s">
        <v>150</v>
      </c>
      <c r="G3" s="8" t="n">
        <v>5</v>
      </c>
      <c r="H3" s="8"/>
    </row>
    <row r="4" customFormat="false" ht="23.25" hidden="false" customHeight="true" outlineLevel="0" collapsed="false">
      <c r="A4" s="8" t="s">
        <v>256</v>
      </c>
      <c r="B4" s="8" t="s">
        <v>194</v>
      </c>
      <c r="C4" s="8" t="s">
        <v>180</v>
      </c>
      <c r="D4" s="8" t="s">
        <v>257</v>
      </c>
      <c r="E4" s="8"/>
      <c r="F4" s="8"/>
      <c r="G4" s="8" t="n">
        <v>4</v>
      </c>
      <c r="H4" s="8" t="s">
        <v>258</v>
      </c>
    </row>
    <row r="5" customFormat="false" ht="15" hidden="false" customHeight="true" outlineLevel="0" collapsed="false">
      <c r="A5" s="8" t="s">
        <v>259</v>
      </c>
      <c r="B5" s="8" t="s">
        <v>187</v>
      </c>
      <c r="C5" s="8" t="s">
        <v>180</v>
      </c>
      <c r="D5" s="8" t="s">
        <v>260</v>
      </c>
      <c r="E5" s="8"/>
      <c r="F5" s="8"/>
      <c r="G5" s="8" t="n">
        <v>5</v>
      </c>
      <c r="H5" s="8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</row>
  </sheetData>
  <dataValidations count="2">
    <dataValidation allowBlank="true" errorStyle="stop" operator="between" showDropDown="false" showErrorMessage="false" showInputMessage="false" sqref="G2:G500" type="whole">
      <formula1>1</formula1>
      <formula2>5</formula2>
    </dataValidation>
    <dataValidation allowBlank="true" errorStyle="stop" operator="between" showDropDown="false" showErrorMessage="false" showInputMessage="false" sqref="D2:D500" type="list">
      <formula1>"descends_from,admixture_of,sister_of,derived_from,influenced_by,reaction_against,syncretism_of,revival_of"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6" min="5" style="1" width="14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22"/>
    <col collapsed="false" customWidth="true" hidden="false" outlineLevel="0" max="11" min="11" style="1" width="26"/>
    <col collapsed="false" customWidth="true" hidden="false" outlineLevel="0" max="12" min="12" style="1" width="24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5" min="15" style="1" width="30"/>
  </cols>
  <sheetData>
    <row r="1" customFormat="false" ht="30" hidden="false" customHeight="true" outlineLevel="0" collapsed="false">
      <c r="A1" s="5" t="s">
        <v>261</v>
      </c>
      <c r="B1" s="5" t="s">
        <v>116</v>
      </c>
      <c r="C1" s="5" t="s">
        <v>262</v>
      </c>
      <c r="D1" s="5" t="s">
        <v>263</v>
      </c>
      <c r="E1" s="5" t="s">
        <v>264</v>
      </c>
      <c r="F1" s="5" t="s">
        <v>265</v>
      </c>
      <c r="G1" s="5" t="s">
        <v>266</v>
      </c>
      <c r="H1" s="5" t="s">
        <v>267</v>
      </c>
      <c r="I1" s="5" t="s">
        <v>268</v>
      </c>
      <c r="J1" s="5" t="s">
        <v>269</v>
      </c>
      <c r="K1" s="5" t="s">
        <v>270</v>
      </c>
      <c r="L1" s="5" t="s">
        <v>271</v>
      </c>
      <c r="M1" s="5" t="s">
        <v>125</v>
      </c>
      <c r="N1" s="5" t="s">
        <v>126</v>
      </c>
      <c r="O1" s="5" t="s">
        <v>59</v>
      </c>
    </row>
    <row r="2" customFormat="false" ht="23.25" hidden="false" customHeight="true" outlineLevel="0" collapsed="false">
      <c r="A2" s="8" t="s">
        <v>272</v>
      </c>
      <c r="B2" s="8" t="s">
        <v>273</v>
      </c>
      <c r="C2" s="8" t="s">
        <v>274</v>
      </c>
      <c r="D2" s="8" t="s">
        <v>275</v>
      </c>
      <c r="E2" s="8" t="n">
        <v>-5500</v>
      </c>
      <c r="F2" s="8" t="n">
        <v>-4500</v>
      </c>
      <c r="G2" s="8" t="s">
        <v>276</v>
      </c>
      <c r="H2" s="8" t="n">
        <v>50</v>
      </c>
      <c r="I2" s="8" t="n">
        <v>12</v>
      </c>
      <c r="J2" s="8" t="s">
        <v>277</v>
      </c>
      <c r="K2" s="8" t="s">
        <v>278</v>
      </c>
      <c r="L2" s="8" t="s">
        <v>279</v>
      </c>
      <c r="M2" s="8" t="s">
        <v>143</v>
      </c>
      <c r="N2" s="8" t="n">
        <v>5</v>
      </c>
      <c r="O2" s="8"/>
    </row>
    <row r="3" customFormat="false" ht="23.25" hidden="false" customHeight="true" outlineLevel="0" collapsed="false">
      <c r="A3" s="8" t="s">
        <v>280</v>
      </c>
      <c r="B3" s="8" t="s">
        <v>281</v>
      </c>
      <c r="C3" s="8" t="s">
        <v>274</v>
      </c>
      <c r="D3" s="8" t="s">
        <v>282</v>
      </c>
      <c r="E3" s="8" t="n">
        <v>-2900</v>
      </c>
      <c r="F3" s="8" t="n">
        <v>-2350</v>
      </c>
      <c r="G3" s="8" t="s">
        <v>283</v>
      </c>
      <c r="H3" s="8" t="n">
        <v>52</v>
      </c>
      <c r="I3" s="8" t="n">
        <v>19</v>
      </c>
      <c r="J3" s="8" t="s">
        <v>284</v>
      </c>
      <c r="K3" s="8" t="s">
        <v>285</v>
      </c>
      <c r="L3" s="8" t="s">
        <v>286</v>
      </c>
      <c r="M3" s="8" t="s">
        <v>150</v>
      </c>
      <c r="N3" s="8" t="n">
        <v>5</v>
      </c>
      <c r="O3" s="8"/>
    </row>
    <row r="4" customFormat="false" ht="23.25" hidden="false" customHeight="true" outlineLevel="0" collapsed="false">
      <c r="A4" s="8" t="s">
        <v>287</v>
      </c>
      <c r="B4" s="8" t="s">
        <v>288</v>
      </c>
      <c r="C4" s="8" t="s">
        <v>274</v>
      </c>
      <c r="D4" s="8" t="s">
        <v>289</v>
      </c>
      <c r="E4" s="8" t="n">
        <v>-2000</v>
      </c>
      <c r="F4" s="8" t="n">
        <v>-1500</v>
      </c>
      <c r="G4" s="8" t="s">
        <v>290</v>
      </c>
      <c r="H4" s="8" t="n">
        <v>34.5</v>
      </c>
      <c r="I4" s="8" t="n">
        <v>72.5</v>
      </c>
      <c r="J4" s="8" t="s">
        <v>291</v>
      </c>
      <c r="K4" s="8" t="s">
        <v>292</v>
      </c>
      <c r="L4" s="8" t="s">
        <v>293</v>
      </c>
      <c r="M4" s="8" t="s">
        <v>156</v>
      </c>
      <c r="N4" s="8" t="n">
        <v>3</v>
      </c>
      <c r="O4" s="8" t="s">
        <v>294</v>
      </c>
    </row>
    <row r="5" customFormat="false" ht="23.25" hidden="false" customHeight="true" outlineLevel="0" collapsed="false">
      <c r="A5" s="8" t="s">
        <v>295</v>
      </c>
      <c r="B5" s="8" t="s">
        <v>296</v>
      </c>
      <c r="C5" s="8" t="s">
        <v>297</v>
      </c>
      <c r="D5" s="8" t="s">
        <v>298</v>
      </c>
      <c r="E5" s="8" t="n">
        <v>2025</v>
      </c>
      <c r="F5" s="8" t="n">
        <v>2025</v>
      </c>
      <c r="G5" s="8" t="s">
        <v>299</v>
      </c>
      <c r="H5" s="8" t="n">
        <v>37.77</v>
      </c>
      <c r="I5" s="8" t="n">
        <v>-122.42</v>
      </c>
      <c r="J5" s="8" t="s">
        <v>300</v>
      </c>
      <c r="K5" s="8"/>
      <c r="L5" s="8" t="s">
        <v>301</v>
      </c>
      <c r="M5" s="8"/>
      <c r="N5" s="8" t="n">
        <v>3</v>
      </c>
      <c r="O5" s="8" t="s">
        <v>302</v>
      </c>
    </row>
    <row r="6" customFormat="false" ht="23.25" hidden="false" customHeight="true" outlineLevel="0" collapsed="false">
      <c r="A6" s="8" t="s">
        <v>303</v>
      </c>
      <c r="B6" s="8" t="s">
        <v>304</v>
      </c>
      <c r="C6" s="8" t="s">
        <v>297</v>
      </c>
      <c r="D6" s="8" t="s">
        <v>298</v>
      </c>
      <c r="E6" s="8" t="n">
        <v>2025</v>
      </c>
      <c r="F6" s="8" t="n">
        <v>2025</v>
      </c>
      <c r="G6" s="8" t="s">
        <v>305</v>
      </c>
      <c r="H6" s="8" t="n">
        <v>33</v>
      </c>
      <c r="I6" s="8" t="n">
        <v>-86</v>
      </c>
      <c r="J6" s="8" t="s">
        <v>306</v>
      </c>
      <c r="K6" s="8"/>
      <c r="L6" s="8" t="s">
        <v>307</v>
      </c>
      <c r="M6" s="8"/>
      <c r="N6" s="8" t="n">
        <v>3</v>
      </c>
      <c r="O6" s="8" t="s">
        <v>302</v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</sheetData>
  <dataValidations count="2">
    <dataValidation allowBlank="true" errorStyle="stop" operator="between" showDropDown="false" showErrorMessage="false" showInputMessage="false" sqref="N2:N500" type="whole">
      <formula1>1</formula1>
      <formula2>5</formula2>
    </dataValidation>
    <dataValidation allowBlank="true" errorStyle="stop" operator="between" showDropDown="false" showErrorMessage="false" showInputMessage="false" sqref="C2:C500" type="list">
      <formula1>"population,community,institution,nation_state,sub_national_region,diaspora,virtual"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30"/>
  </cols>
  <sheetData>
    <row r="1" customFormat="false" ht="30" hidden="false" customHeight="true" outlineLevel="0" collapsed="false">
      <c r="A1" s="5" t="s">
        <v>308</v>
      </c>
      <c r="B1" s="5" t="s">
        <v>261</v>
      </c>
      <c r="C1" s="5" t="s">
        <v>309</v>
      </c>
      <c r="D1" s="5" t="s">
        <v>115</v>
      </c>
      <c r="E1" s="5" t="s">
        <v>114</v>
      </c>
      <c r="F1" s="5" t="s">
        <v>310</v>
      </c>
      <c r="G1" s="5" t="s">
        <v>311</v>
      </c>
      <c r="H1" s="5" t="s">
        <v>125</v>
      </c>
      <c r="I1" s="5" t="s">
        <v>126</v>
      </c>
      <c r="J1" s="5" t="s">
        <v>59</v>
      </c>
    </row>
    <row r="2" customFormat="false" ht="23.25" hidden="false" customHeight="true" outlineLevel="0" collapsed="false">
      <c r="A2" s="8" t="s">
        <v>312</v>
      </c>
      <c r="B2" s="8" t="s">
        <v>272</v>
      </c>
      <c r="C2" s="8" t="n">
        <v>-5000</v>
      </c>
      <c r="D2" s="8" t="s">
        <v>129</v>
      </c>
      <c r="E2" s="8" t="s">
        <v>137</v>
      </c>
      <c r="F2" s="8" t="n">
        <v>0.9</v>
      </c>
      <c r="G2" s="8" t="n">
        <v>0.03</v>
      </c>
      <c r="H2" s="8" t="s">
        <v>143</v>
      </c>
      <c r="I2" s="8" t="n">
        <v>5</v>
      </c>
      <c r="J2" s="8"/>
    </row>
    <row r="3" customFormat="false" ht="23.25" hidden="false" customHeight="true" outlineLevel="0" collapsed="false">
      <c r="A3" s="8" t="s">
        <v>313</v>
      </c>
      <c r="B3" s="8" t="s">
        <v>272</v>
      </c>
      <c r="C3" s="8" t="n">
        <v>-5000</v>
      </c>
      <c r="D3" s="8" t="s">
        <v>129</v>
      </c>
      <c r="E3" s="8" t="s">
        <v>213</v>
      </c>
      <c r="F3" s="8" t="n">
        <v>0.1</v>
      </c>
      <c r="G3" s="8" t="n">
        <v>0.03</v>
      </c>
      <c r="H3" s="8" t="s">
        <v>143</v>
      </c>
      <c r="I3" s="8" t="n">
        <v>5</v>
      </c>
      <c r="J3" s="8"/>
    </row>
    <row r="4" customFormat="false" ht="15" hidden="false" customHeight="true" outlineLevel="0" collapsed="false">
      <c r="A4" s="8" t="s">
        <v>314</v>
      </c>
      <c r="B4" s="8" t="s">
        <v>280</v>
      </c>
      <c r="C4" s="8" t="n">
        <v>-2700</v>
      </c>
      <c r="D4" s="8" t="s">
        <v>129</v>
      </c>
      <c r="E4" s="8" t="s">
        <v>144</v>
      </c>
      <c r="F4" s="8" t="n">
        <v>0.75</v>
      </c>
      <c r="G4" s="8" t="n">
        <v>0.04</v>
      </c>
      <c r="H4" s="8" t="s">
        <v>150</v>
      </c>
      <c r="I4" s="8" t="n">
        <v>5</v>
      </c>
      <c r="J4" s="8"/>
    </row>
    <row r="5" customFormat="false" ht="15" hidden="false" customHeight="true" outlineLevel="0" collapsed="false">
      <c r="A5" s="8" t="s">
        <v>315</v>
      </c>
      <c r="B5" s="8" t="s">
        <v>280</v>
      </c>
      <c r="C5" s="8" t="n">
        <v>-2700</v>
      </c>
      <c r="D5" s="8" t="s">
        <v>129</v>
      </c>
      <c r="E5" s="8" t="s">
        <v>137</v>
      </c>
      <c r="F5" s="8" t="n">
        <v>0.25</v>
      </c>
      <c r="G5" s="8" t="n">
        <v>0.04</v>
      </c>
      <c r="H5" s="8" t="s">
        <v>150</v>
      </c>
      <c r="I5" s="8" t="n">
        <v>5</v>
      </c>
      <c r="J5" s="8"/>
    </row>
    <row r="6" customFormat="false" ht="23.25" hidden="false" customHeight="true" outlineLevel="0" collapsed="false">
      <c r="A6" s="8" t="s">
        <v>316</v>
      </c>
      <c r="B6" s="8" t="s">
        <v>287</v>
      </c>
      <c r="C6" s="8" t="n">
        <v>-1700</v>
      </c>
      <c r="D6" s="8" t="s">
        <v>129</v>
      </c>
      <c r="E6" s="8" t="s">
        <v>230</v>
      </c>
      <c r="F6" s="8" t="n">
        <v>0.55</v>
      </c>
      <c r="G6" s="8" t="n">
        <v>0.05</v>
      </c>
      <c r="H6" s="8" t="s">
        <v>317</v>
      </c>
      <c r="I6" s="8" t="n">
        <v>4</v>
      </c>
      <c r="J6" s="8"/>
    </row>
    <row r="7" customFormat="false" ht="23.25" hidden="false" customHeight="true" outlineLevel="0" collapsed="false">
      <c r="A7" s="8" t="s">
        <v>318</v>
      </c>
      <c r="B7" s="8" t="s">
        <v>287</v>
      </c>
      <c r="C7" s="8" t="n">
        <v>-1700</v>
      </c>
      <c r="D7" s="8" t="s">
        <v>129</v>
      </c>
      <c r="E7" s="8" t="s">
        <v>152</v>
      </c>
      <c r="F7" s="8" t="n">
        <v>0.3</v>
      </c>
      <c r="G7" s="8" t="n">
        <v>0.05</v>
      </c>
      <c r="H7" s="8" t="s">
        <v>317</v>
      </c>
      <c r="I7" s="8" t="n">
        <v>4</v>
      </c>
      <c r="J7" s="8"/>
    </row>
    <row r="8" customFormat="false" ht="23.25" hidden="false" customHeight="true" outlineLevel="0" collapsed="false">
      <c r="A8" s="8" t="s">
        <v>319</v>
      </c>
      <c r="B8" s="8" t="s">
        <v>287</v>
      </c>
      <c r="C8" s="8" t="n">
        <v>-1700</v>
      </c>
      <c r="D8" s="8" t="s">
        <v>129</v>
      </c>
      <c r="E8" s="8" t="s">
        <v>234</v>
      </c>
      <c r="F8" s="8" t="n">
        <v>0.15</v>
      </c>
      <c r="G8" s="8" t="n">
        <v>0.05</v>
      </c>
      <c r="H8" s="8" t="s">
        <v>317</v>
      </c>
      <c r="I8" s="8" t="n">
        <v>3</v>
      </c>
      <c r="J8" s="8" t="s">
        <v>320</v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</row>
  </sheetData>
  <dataValidations count="3">
    <dataValidation allowBlank="true" errorStyle="stop" operator="between" showDropDown="false" showErrorMessage="false" showInputMessage="false" sqref="I2:I500" type="whole">
      <formula1>1</formula1>
      <formula2>5</formula2>
    </dataValidation>
    <dataValidation allowBlank="true" errorStyle="stop" operator="between" showDropDown="false" showErrorMessage="false" showInputMessage="false" sqref="D2:D500" type="list">
      <formula1>"genetic,technological,linguistic,religious,ideological,artistic,institutional,material_culture,other"</formula1>
      <formula2>0</formula2>
    </dataValidation>
    <dataValidation allowBlank="true" errorStyle="stop" operator="between" showDropDown="false" showErrorMessage="false" showInputMessage="false" sqref="F2:F5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10"/>
    <col collapsed="false" customWidth="true" hidden="false" outlineLevel="0" max="13" min="12" style="1" width="18"/>
    <col collapsed="false" customWidth="true" hidden="false" outlineLevel="0" max="14" min="14" style="1" width="14"/>
    <col collapsed="false" customWidth="true" hidden="false" outlineLevel="0" max="15" min="15" style="1" width="28"/>
  </cols>
  <sheetData>
    <row r="1" customFormat="false" ht="30" hidden="false" customHeight="true" outlineLevel="0" collapsed="false">
      <c r="A1" s="5" t="s">
        <v>321</v>
      </c>
      <c r="B1" s="5" t="s">
        <v>261</v>
      </c>
      <c r="C1" s="5" t="s">
        <v>322</v>
      </c>
      <c r="D1" s="5" t="s">
        <v>323</v>
      </c>
      <c r="E1" s="5" t="s">
        <v>324</v>
      </c>
      <c r="F1" s="5" t="s">
        <v>325</v>
      </c>
      <c r="G1" s="5" t="s">
        <v>326</v>
      </c>
      <c r="H1" s="5" t="s">
        <v>115</v>
      </c>
      <c r="I1" s="5" t="s">
        <v>114</v>
      </c>
      <c r="J1" s="5" t="s">
        <v>327</v>
      </c>
      <c r="K1" s="5" t="s">
        <v>311</v>
      </c>
      <c r="L1" s="5" t="s">
        <v>328</v>
      </c>
      <c r="M1" s="5" t="s">
        <v>125</v>
      </c>
      <c r="N1" s="5" t="s">
        <v>126</v>
      </c>
      <c r="O1" s="5" t="s">
        <v>59</v>
      </c>
    </row>
    <row r="2" customFormat="false" ht="23.25" hidden="false" customHeight="true" outlineLevel="0" collapsed="false">
      <c r="A2" s="8" t="s">
        <v>329</v>
      </c>
      <c r="B2" s="8" t="s">
        <v>272</v>
      </c>
      <c r="C2" s="8" t="s">
        <v>330</v>
      </c>
      <c r="D2" s="8" t="n">
        <v>-5100</v>
      </c>
      <c r="E2" s="8" t="n">
        <v>-4900</v>
      </c>
      <c r="F2" s="8" t="n">
        <v>48.78</v>
      </c>
      <c r="G2" s="8" t="n">
        <v>9.18</v>
      </c>
      <c r="H2" s="8" t="s">
        <v>129</v>
      </c>
      <c r="I2" s="8" t="s">
        <v>137</v>
      </c>
      <c r="J2" s="8" t="n">
        <v>0.9</v>
      </c>
      <c r="K2" s="8" t="n">
        <v>0.03</v>
      </c>
      <c r="L2" s="8" t="s">
        <v>331</v>
      </c>
      <c r="M2" s="8" t="s">
        <v>332</v>
      </c>
      <c r="N2" s="8" t="n">
        <v>5</v>
      </c>
      <c r="O2" s="8" t="s">
        <v>333</v>
      </c>
    </row>
    <row r="3" customFormat="false" ht="23.25" hidden="false" customHeight="true" outlineLevel="0" collapsed="false">
      <c r="A3" s="8" t="s">
        <v>334</v>
      </c>
      <c r="B3" s="8" t="s">
        <v>280</v>
      </c>
      <c r="C3" s="8" t="s">
        <v>335</v>
      </c>
      <c r="D3" s="8" t="n">
        <v>-2700</v>
      </c>
      <c r="E3" s="8" t="n">
        <v>-2500</v>
      </c>
      <c r="F3" s="8" t="n">
        <v>51.45</v>
      </c>
      <c r="G3" s="8" t="n">
        <v>11.65</v>
      </c>
      <c r="H3" s="8" t="s">
        <v>129</v>
      </c>
      <c r="I3" s="8" t="s">
        <v>144</v>
      </c>
      <c r="J3" s="8" t="n">
        <v>0.75</v>
      </c>
      <c r="K3" s="8" t="n">
        <v>0.04</v>
      </c>
      <c r="L3" s="8" t="s">
        <v>331</v>
      </c>
      <c r="M3" s="8" t="s">
        <v>336</v>
      </c>
      <c r="N3" s="8" t="n">
        <v>5</v>
      </c>
      <c r="O3" s="8"/>
    </row>
    <row r="4" customFormat="false" ht="23.25" hidden="false" customHeight="true" outlineLevel="0" collapsed="false">
      <c r="A4" s="8" t="s">
        <v>337</v>
      </c>
      <c r="B4" s="8" t="s">
        <v>287</v>
      </c>
      <c r="C4" s="8" t="s">
        <v>338</v>
      </c>
      <c r="D4" s="8" t="n">
        <v>-1200</v>
      </c>
      <c r="E4" s="8" t="n">
        <v>-800</v>
      </c>
      <c r="F4" s="8" t="n">
        <v>34.78</v>
      </c>
      <c r="G4" s="8" t="n">
        <v>72.36</v>
      </c>
      <c r="H4" s="8" t="s">
        <v>129</v>
      </c>
      <c r="I4" s="8" t="s">
        <v>234</v>
      </c>
      <c r="J4" s="8" t="n">
        <v>0.15</v>
      </c>
      <c r="K4" s="8" t="n">
        <v>0.05</v>
      </c>
      <c r="L4" s="8" t="s">
        <v>331</v>
      </c>
      <c r="M4" s="8" t="s">
        <v>317</v>
      </c>
      <c r="N4" s="8" t="n">
        <v>3</v>
      </c>
      <c r="O4" s="8" t="s">
        <v>339</v>
      </c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</sheetData>
  <dataValidations count="3">
    <dataValidation allowBlank="true" errorStyle="stop" operator="between" showDropDown="false" showErrorMessage="false" showInputMessage="false" sqref="N2:N500" type="whole">
      <formula1>1</formula1>
      <formula2>5</formula2>
    </dataValidation>
    <dataValidation allowBlank="true" errorStyle="stop" operator="between" showDropDown="false" showErrorMessage="false" showInputMessage="false" sqref="J2:J500" type="decimal">
      <formula1>0</formula1>
      <formula2>1</formula2>
    </dataValidation>
    <dataValidation allowBlank="true" errorStyle="stop" operator="between" showDropDown="false" showErrorMessage="false" showInputMessage="false" sqref="H2:H500" type="list">
      <formula1>"genetic,technological,linguistic,religious,ideological,artistic,institutional,material_culture,other"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26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22"/>
    <col collapsed="false" customWidth="true" hidden="false" outlineLevel="0" max="12" min="11" style="1" width="12"/>
    <col collapsed="false" customWidth="true" hidden="false" outlineLevel="0" max="13" min="13" style="1" width="36"/>
    <col collapsed="false" customWidth="true" hidden="false" outlineLevel="0" max="14" min="14" style="1" width="22"/>
    <col collapsed="false" customWidth="true" hidden="false" outlineLevel="0" max="15" min="15" style="1" width="18"/>
    <col collapsed="false" customWidth="true" hidden="false" outlineLevel="0" max="17" min="16" style="1" width="14"/>
    <col collapsed="false" customWidth="true" hidden="false" outlineLevel="0" max="18" min="18" style="1" width="32"/>
  </cols>
  <sheetData>
    <row r="1" customFormat="false" ht="30" hidden="false" customHeight="true" outlineLevel="0" collapsed="false">
      <c r="A1" s="5" t="s">
        <v>340</v>
      </c>
      <c r="B1" s="5" t="s">
        <v>116</v>
      </c>
      <c r="C1" s="5" t="s">
        <v>115</v>
      </c>
      <c r="D1" s="5" t="s">
        <v>323</v>
      </c>
      <c r="E1" s="5" t="s">
        <v>324</v>
      </c>
      <c r="F1" s="5" t="s">
        <v>341</v>
      </c>
      <c r="G1" s="5" t="s">
        <v>342</v>
      </c>
      <c r="H1" s="5" t="s">
        <v>343</v>
      </c>
      <c r="I1" s="5" t="s">
        <v>344</v>
      </c>
      <c r="J1" s="5" t="s">
        <v>345</v>
      </c>
      <c r="K1" s="5" t="s">
        <v>346</v>
      </c>
      <c r="L1" s="5" t="s">
        <v>347</v>
      </c>
      <c r="M1" s="5" t="s">
        <v>348</v>
      </c>
      <c r="N1" s="5" t="s">
        <v>349</v>
      </c>
      <c r="O1" s="5" t="s">
        <v>125</v>
      </c>
      <c r="P1" s="5" t="s">
        <v>126</v>
      </c>
      <c r="Q1" s="5" t="s">
        <v>127</v>
      </c>
      <c r="R1" s="5" t="s">
        <v>59</v>
      </c>
    </row>
    <row r="2" customFormat="false" ht="23.25" hidden="false" customHeight="true" outlineLevel="0" collapsed="false">
      <c r="A2" s="8" t="s">
        <v>350</v>
      </c>
      <c r="B2" s="8" t="s">
        <v>351</v>
      </c>
      <c r="C2" s="8" t="s">
        <v>129</v>
      </c>
      <c r="D2" s="8" t="n">
        <v>-70000</v>
      </c>
      <c r="E2" s="8" t="n">
        <v>-50000</v>
      </c>
      <c r="F2" s="8" t="s">
        <v>242</v>
      </c>
      <c r="G2" s="8" t="s">
        <v>352</v>
      </c>
      <c r="H2" s="8" t="n">
        <v>12</v>
      </c>
      <c r="I2" s="8" t="n">
        <v>38</v>
      </c>
      <c r="J2" s="8" t="s">
        <v>353</v>
      </c>
      <c r="K2" s="8" t="n">
        <v>35</v>
      </c>
      <c r="L2" s="8" t="n">
        <v>60</v>
      </c>
      <c r="M2" s="8" t="s">
        <v>354</v>
      </c>
      <c r="N2" s="8" t="s">
        <v>355</v>
      </c>
      <c r="O2" s="8" t="s">
        <v>356</v>
      </c>
      <c r="P2" s="8" t="n">
        <v>5</v>
      </c>
      <c r="Q2" s="9" t="b">
        <f aca="false">FALSE()</f>
        <v>0</v>
      </c>
      <c r="R2" s="8"/>
    </row>
    <row r="3" customFormat="false" ht="23.25" hidden="false" customHeight="true" outlineLevel="0" collapsed="false">
      <c r="A3" s="8" t="s">
        <v>357</v>
      </c>
      <c r="B3" s="8" t="s">
        <v>358</v>
      </c>
      <c r="C3" s="8" t="s">
        <v>129</v>
      </c>
      <c r="D3" s="8" t="n">
        <v>-7000</v>
      </c>
      <c r="E3" s="8" t="n">
        <v>-4000</v>
      </c>
      <c r="F3" s="8" t="s">
        <v>137</v>
      </c>
      <c r="G3" s="8" t="s">
        <v>359</v>
      </c>
      <c r="H3" s="8" t="n">
        <v>39</v>
      </c>
      <c r="I3" s="8" t="n">
        <v>35</v>
      </c>
      <c r="J3" s="8" t="s">
        <v>360</v>
      </c>
      <c r="K3" s="8" t="n">
        <v>50</v>
      </c>
      <c r="L3" s="8" t="n">
        <v>10</v>
      </c>
      <c r="M3" s="8" t="s">
        <v>361</v>
      </c>
      <c r="N3" s="8" t="s">
        <v>355</v>
      </c>
      <c r="O3" s="8" t="s">
        <v>143</v>
      </c>
      <c r="P3" s="8" t="n">
        <v>5</v>
      </c>
      <c r="Q3" s="9" t="b">
        <f aca="false">FALSE()</f>
        <v>0</v>
      </c>
      <c r="R3" s="8"/>
    </row>
    <row r="4" customFormat="false" ht="23.25" hidden="false" customHeight="true" outlineLevel="0" collapsed="false">
      <c r="A4" s="8" t="s">
        <v>362</v>
      </c>
      <c r="B4" s="8" t="s">
        <v>363</v>
      </c>
      <c r="C4" s="8" t="s">
        <v>129</v>
      </c>
      <c r="D4" s="8" t="n">
        <v>-3000</v>
      </c>
      <c r="E4" s="8" t="n">
        <v>-2500</v>
      </c>
      <c r="F4" s="8" t="s">
        <v>144</v>
      </c>
      <c r="G4" s="8" t="s">
        <v>147</v>
      </c>
      <c r="H4" s="8" t="n">
        <v>47</v>
      </c>
      <c r="I4" s="8" t="n">
        <v>40</v>
      </c>
      <c r="J4" s="8" t="s">
        <v>364</v>
      </c>
      <c r="K4" s="8" t="n">
        <v>52</v>
      </c>
      <c r="L4" s="8" t="n">
        <v>19</v>
      </c>
      <c r="M4" s="8" t="s">
        <v>365</v>
      </c>
      <c r="N4" s="8" t="s">
        <v>366</v>
      </c>
      <c r="O4" s="8" t="s">
        <v>150</v>
      </c>
      <c r="P4" s="8" t="n">
        <v>5</v>
      </c>
      <c r="Q4" s="9" t="b">
        <f aca="false">FALSE()</f>
        <v>0</v>
      </c>
      <c r="R4" s="8"/>
    </row>
    <row r="5" customFormat="false" ht="34.5" hidden="false" customHeight="true" outlineLevel="0" collapsed="false">
      <c r="A5" s="8" t="s">
        <v>367</v>
      </c>
      <c r="B5" s="8" t="s">
        <v>368</v>
      </c>
      <c r="C5" s="8" t="s">
        <v>129</v>
      </c>
      <c r="D5" s="8" t="n">
        <v>-2000</v>
      </c>
      <c r="E5" s="8" t="n">
        <v>-1500</v>
      </c>
      <c r="F5" s="8" t="s">
        <v>234</v>
      </c>
      <c r="G5" s="8" t="s">
        <v>237</v>
      </c>
      <c r="H5" s="8" t="n">
        <v>50</v>
      </c>
      <c r="I5" s="8" t="n">
        <v>65</v>
      </c>
      <c r="J5" s="8" t="s">
        <v>290</v>
      </c>
      <c r="K5" s="8" t="n">
        <v>30</v>
      </c>
      <c r="L5" s="8" t="n">
        <v>76</v>
      </c>
      <c r="M5" s="8" t="s">
        <v>369</v>
      </c>
      <c r="N5" s="8" t="s">
        <v>366</v>
      </c>
      <c r="O5" s="8" t="s">
        <v>156</v>
      </c>
      <c r="P5" s="8" t="n">
        <v>3</v>
      </c>
      <c r="Q5" s="9" t="b">
        <f aca="false">TRUE()</f>
        <v>1</v>
      </c>
      <c r="R5" s="8" t="s">
        <v>370</v>
      </c>
    </row>
    <row r="6" customFormat="false" ht="23.25" hidden="false" customHeight="true" outlineLevel="0" collapsed="false">
      <c r="A6" s="8" t="s">
        <v>371</v>
      </c>
      <c r="B6" s="8" t="s">
        <v>372</v>
      </c>
      <c r="C6" s="8" t="s">
        <v>159</v>
      </c>
      <c r="D6" s="8" t="n">
        <v>-7000</v>
      </c>
      <c r="E6" s="8" t="n">
        <v>-3500</v>
      </c>
      <c r="F6" s="8" t="s">
        <v>158</v>
      </c>
      <c r="G6" s="8" t="s">
        <v>359</v>
      </c>
      <c r="H6" s="8" t="n">
        <v>39</v>
      </c>
      <c r="I6" s="8" t="n">
        <v>35</v>
      </c>
      <c r="J6" s="8" t="s">
        <v>79</v>
      </c>
      <c r="K6" s="8" t="n">
        <v>50</v>
      </c>
      <c r="L6" s="8" t="n">
        <v>10</v>
      </c>
      <c r="M6" s="8" t="s">
        <v>373</v>
      </c>
      <c r="N6" s="8" t="s">
        <v>374</v>
      </c>
      <c r="O6" s="8"/>
      <c r="P6" s="8" t="n">
        <v>5</v>
      </c>
      <c r="Q6" s="9" t="b">
        <f aca="false">FALSE()</f>
        <v>0</v>
      </c>
      <c r="R6" s="8" t="s">
        <v>375</v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</sheetData>
  <dataValidations count="3">
    <dataValidation allowBlank="true" errorStyle="stop" operator="between" showDropDown="false" showErrorMessage="false" showInputMessage="false" sqref="P2:P500" type="whole">
      <formula1>1</formula1>
      <formula2>5</formula2>
    </dataValidation>
    <dataValidation allowBlank="true" errorStyle="stop" operator="between" showDropDown="false" showErrorMessage="false" showInputMessage="false" sqref="C2:C500" type="list">
      <formula1>"genetic,technological,linguistic,religious,ideological,artistic,institutional,material_culture,other"</formula1>
      <formula2>0</formula2>
    </dataValidation>
    <dataValidation allowBlank="true" errorStyle="stop" operator="between" showDropDown="false" showErrorMessage="false" showInputMessage="false" sqref="Q2:Q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7" min="6" style="1" width="12"/>
    <col collapsed="false" customWidth="true" hidden="false" outlineLevel="0" max="9" min="8" style="1" width="22"/>
    <col collapsed="false" customWidth="true" hidden="false" outlineLevel="0" max="10" min="10" style="1" width="14"/>
    <col collapsed="false" customWidth="true" hidden="false" outlineLevel="0" max="11" min="11" style="1" width="30"/>
  </cols>
  <sheetData>
    <row r="1" customFormat="false" ht="30" hidden="false" customHeight="true" outlineLevel="0" collapsed="false">
      <c r="A1" s="5" t="s">
        <v>376</v>
      </c>
      <c r="B1" s="5" t="s">
        <v>262</v>
      </c>
      <c r="C1" s="5" t="s">
        <v>116</v>
      </c>
      <c r="D1" s="5" t="s">
        <v>309</v>
      </c>
      <c r="E1" s="5" t="s">
        <v>377</v>
      </c>
      <c r="F1" s="5" t="s">
        <v>267</v>
      </c>
      <c r="G1" s="5" t="s">
        <v>268</v>
      </c>
      <c r="H1" s="5" t="s">
        <v>269</v>
      </c>
      <c r="I1" s="5" t="s">
        <v>125</v>
      </c>
      <c r="J1" s="5" t="s">
        <v>126</v>
      </c>
      <c r="K1" s="5" t="s">
        <v>59</v>
      </c>
    </row>
    <row r="2" customFormat="false" ht="23.25" hidden="false" customHeight="true" outlineLevel="0" collapsed="false">
      <c r="A2" s="8" t="s">
        <v>378</v>
      </c>
      <c r="B2" s="8" t="s">
        <v>379</v>
      </c>
      <c r="C2" s="8" t="s">
        <v>380</v>
      </c>
      <c r="D2" s="8" t="n">
        <v>-10000</v>
      </c>
      <c r="E2" s="8" t="s">
        <v>381</v>
      </c>
      <c r="F2" s="8" t="n">
        <v>54</v>
      </c>
      <c r="G2" s="8" t="n">
        <v>2</v>
      </c>
      <c r="H2" s="8" t="s">
        <v>382</v>
      </c>
      <c r="I2" s="8" t="s">
        <v>383</v>
      </c>
      <c r="J2" s="8" t="n">
        <v>5</v>
      </c>
      <c r="K2" s="8" t="s">
        <v>384</v>
      </c>
    </row>
    <row r="3" customFormat="false" ht="23.25" hidden="false" customHeight="true" outlineLevel="0" collapsed="false">
      <c r="A3" s="8" t="s">
        <v>385</v>
      </c>
      <c r="B3" s="8" t="s">
        <v>379</v>
      </c>
      <c r="C3" s="8" t="s">
        <v>386</v>
      </c>
      <c r="D3" s="8" t="n">
        <v>-16000</v>
      </c>
      <c r="E3" s="8" t="s">
        <v>387</v>
      </c>
      <c r="F3" s="8" t="n">
        <v>65</v>
      </c>
      <c r="G3" s="8" t="n">
        <v>-170</v>
      </c>
      <c r="H3" s="8" t="s">
        <v>388</v>
      </c>
      <c r="I3" s="8" t="s">
        <v>389</v>
      </c>
      <c r="J3" s="8" t="n">
        <v>5</v>
      </c>
      <c r="K3" s="8" t="s">
        <v>390</v>
      </c>
    </row>
    <row r="4" customFormat="false" ht="23.25" hidden="false" customHeight="true" outlineLevel="0" collapsed="false">
      <c r="A4" s="8" t="s">
        <v>391</v>
      </c>
      <c r="B4" s="8" t="s">
        <v>392</v>
      </c>
      <c r="C4" s="8" t="s">
        <v>393</v>
      </c>
      <c r="D4" s="8" t="n">
        <v>-7000</v>
      </c>
      <c r="E4" s="8" t="s">
        <v>394</v>
      </c>
      <c r="F4" s="8" t="n">
        <v>20</v>
      </c>
      <c r="G4" s="8" t="n">
        <v>10</v>
      </c>
      <c r="H4" s="8" t="s">
        <v>395</v>
      </c>
      <c r="I4" s="8" t="s">
        <v>396</v>
      </c>
      <c r="J4" s="8" t="n">
        <v>5</v>
      </c>
      <c r="K4" s="8" t="s">
        <v>397</v>
      </c>
    </row>
    <row r="5" customFormat="false" ht="23.25" hidden="false" customHeight="true" outlineLevel="0" collapsed="false">
      <c r="A5" s="8" t="s">
        <v>398</v>
      </c>
      <c r="B5" s="8" t="s">
        <v>399</v>
      </c>
      <c r="C5" s="8" t="s">
        <v>400</v>
      </c>
      <c r="D5" s="8" t="n">
        <v>-20000</v>
      </c>
      <c r="E5" s="8" t="s">
        <v>401</v>
      </c>
      <c r="F5" s="8" t="n">
        <v>55</v>
      </c>
      <c r="G5" s="8" t="n">
        <v>-90</v>
      </c>
      <c r="H5" s="8" t="s">
        <v>402</v>
      </c>
      <c r="I5" s="8" t="s">
        <v>403</v>
      </c>
      <c r="J5" s="8" t="n">
        <v>5</v>
      </c>
      <c r="K5" s="8"/>
    </row>
    <row r="6" customFormat="false" ht="23.25" hidden="false" customHeight="true" outlineLevel="0" collapsed="false">
      <c r="A6" s="8" t="s">
        <v>404</v>
      </c>
      <c r="B6" s="8" t="s">
        <v>405</v>
      </c>
      <c r="C6" s="8" t="s">
        <v>406</v>
      </c>
      <c r="D6" s="8" t="n">
        <v>-5500</v>
      </c>
      <c r="E6" s="8" t="s">
        <v>407</v>
      </c>
      <c r="F6" s="8" t="n">
        <v>43</v>
      </c>
      <c r="G6" s="8" t="n">
        <v>35</v>
      </c>
      <c r="H6" s="8" t="s">
        <v>408</v>
      </c>
      <c r="I6" s="8" t="s">
        <v>409</v>
      </c>
      <c r="J6" s="8" t="n">
        <v>3</v>
      </c>
      <c r="K6" s="8" t="s">
        <v>410</v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</sheetData>
  <dataValidations count="2">
    <dataValidation allowBlank="true" errorStyle="stop" operator="between" showDropDown="false" showErrorMessage="false" showInputMessage="false" sqref="J2:J500" type="whole">
      <formula1>1</formula1>
      <formula2>5</formula2>
    </dataValidation>
    <dataValidation allowBlank="true" errorStyle="stop" operator="between" showDropDown="false" showErrorMessage="false" showInputMessage="false" sqref="B2:B500" type="list">
      <formula1>"coastline,ice_sheet,glacier,lake,inland_sea,river,desert,forest,savanna,tundra,land_bridge,volcano,sea"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30"/>
  </cols>
  <sheetData>
    <row r="1" customFormat="false" ht="30" hidden="false" customHeight="true" outlineLevel="0" collapsed="false">
      <c r="A1" s="5" t="s">
        <v>411</v>
      </c>
      <c r="B1" s="5" t="s">
        <v>412</v>
      </c>
      <c r="C1" s="5" t="s">
        <v>413</v>
      </c>
      <c r="D1" s="5" t="s">
        <v>266</v>
      </c>
      <c r="E1" s="5" t="s">
        <v>414</v>
      </c>
      <c r="F1" s="5" t="s">
        <v>415</v>
      </c>
      <c r="G1" s="5" t="s">
        <v>416</v>
      </c>
      <c r="H1" s="5" t="s">
        <v>417</v>
      </c>
      <c r="I1" s="5" t="s">
        <v>125</v>
      </c>
      <c r="J1" s="5" t="s">
        <v>126</v>
      </c>
      <c r="K1" s="5" t="s">
        <v>59</v>
      </c>
    </row>
    <row r="2" customFormat="false" ht="23.25" hidden="false" customHeight="true" outlineLevel="0" collapsed="false">
      <c r="A2" s="8" t="s">
        <v>418</v>
      </c>
      <c r="B2" s="8" t="n">
        <v>-20000</v>
      </c>
      <c r="C2" s="8" t="s">
        <v>419</v>
      </c>
      <c r="D2" s="8" t="s">
        <v>63</v>
      </c>
      <c r="E2" s="8" t="n">
        <v>-120</v>
      </c>
      <c r="F2" s="8" t="n">
        <v>-5</v>
      </c>
      <c r="G2" s="8" t="s">
        <v>420</v>
      </c>
      <c r="H2" s="8" t="n">
        <v>190</v>
      </c>
      <c r="I2" s="8" t="s">
        <v>421</v>
      </c>
      <c r="J2" s="8" t="n">
        <v>5</v>
      </c>
      <c r="K2" s="8" t="s">
        <v>422</v>
      </c>
    </row>
    <row r="3" customFormat="false" ht="23.25" hidden="false" customHeight="true" outlineLevel="0" collapsed="false">
      <c r="A3" s="8" t="s">
        <v>423</v>
      </c>
      <c r="B3" s="8" t="n">
        <v>-7000</v>
      </c>
      <c r="C3" s="8" t="s">
        <v>419</v>
      </c>
      <c r="D3" s="8" t="s">
        <v>63</v>
      </c>
      <c r="E3" s="8" t="n">
        <v>-3</v>
      </c>
      <c r="F3" s="8" t="n">
        <v>0.5</v>
      </c>
      <c r="G3" s="8" t="s">
        <v>424</v>
      </c>
      <c r="H3" s="8" t="n">
        <v>265</v>
      </c>
      <c r="I3" s="8" t="s">
        <v>425</v>
      </c>
      <c r="J3" s="8" t="n">
        <v>4</v>
      </c>
      <c r="K3" s="8" t="s">
        <v>426</v>
      </c>
    </row>
    <row r="4" customFormat="false" ht="23.25" hidden="false" customHeight="true" outlineLevel="0" collapsed="false">
      <c r="A4" s="8" t="s">
        <v>427</v>
      </c>
      <c r="B4" s="8" t="n">
        <v>-7000</v>
      </c>
      <c r="C4" s="8" t="s">
        <v>428</v>
      </c>
      <c r="D4" s="8" t="s">
        <v>429</v>
      </c>
      <c r="E4" s="8"/>
      <c r="F4" s="8"/>
      <c r="G4" s="8"/>
      <c r="H4" s="8"/>
      <c r="I4" s="8" t="s">
        <v>430</v>
      </c>
      <c r="J4" s="8" t="n">
        <v>5</v>
      </c>
      <c r="K4" s="8" t="s">
        <v>431</v>
      </c>
    </row>
    <row r="5" customFormat="false" ht="23.25" hidden="false" customHeight="true" outlineLevel="0" collapsed="false">
      <c r="A5" s="8" t="s">
        <v>432</v>
      </c>
      <c r="B5" s="8" t="n">
        <v>-2200</v>
      </c>
      <c r="C5" s="8" t="s">
        <v>419</v>
      </c>
      <c r="D5" s="8" t="s">
        <v>63</v>
      </c>
      <c r="E5" s="8"/>
      <c r="F5" s="8" t="n">
        <v>-0.3</v>
      </c>
      <c r="G5" s="8"/>
      <c r="H5" s="8"/>
      <c r="I5" s="8" t="s">
        <v>433</v>
      </c>
      <c r="J5" s="8" t="n">
        <v>4</v>
      </c>
      <c r="K5" s="8" t="s">
        <v>434</v>
      </c>
    </row>
    <row r="6" customFormat="false" ht="15" hidden="false" customHeight="true" outlineLevel="0" collapsed="false">
      <c r="A6" s="8" t="s">
        <v>435</v>
      </c>
      <c r="B6" s="8" t="n">
        <v>1500</v>
      </c>
      <c r="C6" s="8" t="s">
        <v>419</v>
      </c>
      <c r="D6" s="8" t="s">
        <v>63</v>
      </c>
      <c r="E6" s="8" t="n">
        <v>-0.05</v>
      </c>
      <c r="F6" s="8" t="n">
        <v>-0.4</v>
      </c>
      <c r="G6" s="8"/>
      <c r="H6" s="8" t="n">
        <v>280</v>
      </c>
      <c r="I6" s="8" t="s">
        <v>436</v>
      </c>
      <c r="J6" s="8" t="n">
        <v>5</v>
      </c>
      <c r="K6" s="8" t="s">
        <v>437</v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</sheetData>
  <dataValidations count="2">
    <dataValidation allowBlank="true" errorStyle="stop" operator="between" showDropDown="false" showErrorMessage="false" showInputMessage="false" sqref="J2:J500" type="whole">
      <formula1>1</formula1>
      <formula2>5</formula2>
    </dataValidation>
    <dataValidation allowBlank="true" errorStyle="stop" operator="between" showDropDown="false" showErrorMessage="false" showInputMessage="false" sqref="C2:C500" type="list">
      <formula1>"global,regional"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28"/>
    <col collapsed="false" customWidth="true" hidden="false" outlineLevel="0" max="5" min="5" style="1" width="8"/>
    <col collapsed="false" customWidth="true" hidden="false" outlineLevel="0" max="6" min="6" style="1" width="22"/>
    <col collapsed="false" customWidth="true" hidden="false" outlineLevel="0" max="7" min="7" style="1" width="38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2"/>
    <col collapsed="false" customWidth="true" hidden="false" outlineLevel="0" max="11" min="11" style="1" width="28"/>
    <col collapsed="false" customWidth="true" hidden="false" outlineLevel="0" max="12" min="12" style="1" width="35"/>
  </cols>
  <sheetData>
    <row r="1" customFormat="false" ht="30" hidden="false" customHeight="true" outlineLevel="0" collapsed="false">
      <c r="A1" s="5" t="s">
        <v>438</v>
      </c>
      <c r="B1" s="5" t="s">
        <v>262</v>
      </c>
      <c r="C1" s="5" t="s">
        <v>439</v>
      </c>
      <c r="D1" s="5" t="s">
        <v>440</v>
      </c>
      <c r="E1" s="5" t="s">
        <v>412</v>
      </c>
      <c r="F1" s="5" t="s">
        <v>441</v>
      </c>
      <c r="G1" s="5" t="s">
        <v>442</v>
      </c>
      <c r="H1" s="5" t="s">
        <v>443</v>
      </c>
      <c r="I1" s="5" t="s">
        <v>444</v>
      </c>
      <c r="J1" s="5" t="s">
        <v>445</v>
      </c>
      <c r="K1" s="5" t="s">
        <v>446</v>
      </c>
      <c r="L1" s="5" t="s">
        <v>59</v>
      </c>
    </row>
    <row r="2" customFormat="false" ht="23.25" hidden="false" customHeight="true" outlineLevel="0" collapsed="false">
      <c r="A2" s="8" t="s">
        <v>447</v>
      </c>
      <c r="B2" s="8" t="s">
        <v>448</v>
      </c>
      <c r="C2" s="8" t="s">
        <v>449</v>
      </c>
      <c r="D2" s="8" t="s">
        <v>450</v>
      </c>
      <c r="E2" s="8" t="n">
        <v>2018</v>
      </c>
      <c r="F2" s="8" t="s">
        <v>451</v>
      </c>
      <c r="G2" s="8"/>
      <c r="H2" s="8" t="s">
        <v>452</v>
      </c>
      <c r="I2" s="8" t="n">
        <v>1</v>
      </c>
      <c r="J2" s="8"/>
      <c r="K2" s="8" t="s">
        <v>453</v>
      </c>
      <c r="L2" s="8"/>
    </row>
    <row r="3" customFormat="false" ht="23.25" hidden="false" customHeight="true" outlineLevel="0" collapsed="false">
      <c r="A3" s="8" t="s">
        <v>454</v>
      </c>
      <c r="B3" s="8" t="s">
        <v>448</v>
      </c>
      <c r="C3" s="8" t="s">
        <v>455</v>
      </c>
      <c r="D3" s="8" t="s">
        <v>450</v>
      </c>
      <c r="E3" s="8" t="n">
        <v>2018</v>
      </c>
      <c r="F3" s="8" t="s">
        <v>456</v>
      </c>
      <c r="G3" s="8"/>
      <c r="H3" s="8" t="s">
        <v>452</v>
      </c>
      <c r="I3" s="8" t="n">
        <v>1</v>
      </c>
      <c r="J3" s="8"/>
      <c r="K3" s="8" t="s">
        <v>457</v>
      </c>
      <c r="L3" s="8"/>
    </row>
    <row r="4" customFormat="false" ht="23.25" hidden="false" customHeight="true" outlineLevel="0" collapsed="false">
      <c r="A4" s="8" t="s">
        <v>458</v>
      </c>
      <c r="B4" s="8" t="s">
        <v>448</v>
      </c>
      <c r="C4" s="8" t="s">
        <v>459</v>
      </c>
      <c r="D4" s="8" t="s">
        <v>450</v>
      </c>
      <c r="E4" s="8" t="n">
        <v>2018</v>
      </c>
      <c r="F4" s="8" t="s">
        <v>460</v>
      </c>
      <c r="G4" s="8"/>
      <c r="H4" s="8" t="s">
        <v>452</v>
      </c>
      <c r="I4" s="8" t="n">
        <v>1</v>
      </c>
      <c r="J4" s="8"/>
      <c r="K4" s="8" t="s">
        <v>461</v>
      </c>
      <c r="L4" s="8"/>
    </row>
    <row r="5" customFormat="false" ht="23.25" hidden="false" customHeight="true" outlineLevel="0" collapsed="false">
      <c r="A5" s="8" t="s">
        <v>462</v>
      </c>
      <c r="B5" s="8" t="s">
        <v>448</v>
      </c>
      <c r="C5" s="8" t="s">
        <v>463</v>
      </c>
      <c r="D5" s="8" t="s">
        <v>450</v>
      </c>
      <c r="E5" s="8" t="n">
        <v>2018</v>
      </c>
      <c r="F5" s="8" t="s">
        <v>464</v>
      </c>
      <c r="G5" s="8"/>
      <c r="H5" s="8" t="s">
        <v>452</v>
      </c>
      <c r="I5" s="8" t="n">
        <v>0.85</v>
      </c>
      <c r="J5" s="8" t="s">
        <v>317</v>
      </c>
      <c r="K5" s="8" t="s">
        <v>465</v>
      </c>
      <c r="L5" s="8" t="s">
        <v>466</v>
      </c>
    </row>
    <row r="6" customFormat="false" ht="23.25" hidden="false" customHeight="true" outlineLevel="0" collapsed="false">
      <c r="A6" s="8" t="s">
        <v>467</v>
      </c>
      <c r="B6" s="8" t="s">
        <v>468</v>
      </c>
      <c r="C6" s="8" t="s">
        <v>469</v>
      </c>
      <c r="D6" s="8" t="s">
        <v>470</v>
      </c>
      <c r="E6" s="8" t="n">
        <v>2015</v>
      </c>
      <c r="F6" s="8"/>
      <c r="G6" s="8" t="s">
        <v>471</v>
      </c>
      <c r="H6" s="8"/>
      <c r="I6" s="8" t="n">
        <v>1</v>
      </c>
      <c r="J6" s="8"/>
      <c r="K6" s="8" t="s">
        <v>472</v>
      </c>
      <c r="L6" s="8"/>
    </row>
    <row r="7" customFormat="false" ht="15" hidden="false" customHeight="true" outlineLevel="0" collapsed="false">
      <c r="A7" s="8" t="s">
        <v>473</v>
      </c>
      <c r="B7" s="8" t="s">
        <v>468</v>
      </c>
      <c r="C7" s="8" t="s">
        <v>474</v>
      </c>
      <c r="D7" s="8" t="s">
        <v>475</v>
      </c>
      <c r="E7" s="8" t="n">
        <v>2014</v>
      </c>
      <c r="F7" s="8"/>
      <c r="G7" s="8" t="s">
        <v>476</v>
      </c>
      <c r="H7" s="8"/>
      <c r="I7" s="8" t="n">
        <v>0.9</v>
      </c>
      <c r="J7" s="8" t="s">
        <v>477</v>
      </c>
      <c r="K7" s="8" t="s">
        <v>478</v>
      </c>
      <c r="L7" s="8"/>
    </row>
    <row r="8" customFormat="false" ht="23.25" hidden="false" customHeight="true" outlineLevel="0" collapsed="false">
      <c r="A8" s="8" t="s">
        <v>317</v>
      </c>
      <c r="B8" s="8" t="s">
        <v>468</v>
      </c>
      <c r="C8" s="8" t="s">
        <v>479</v>
      </c>
      <c r="D8" s="8" t="s">
        <v>480</v>
      </c>
      <c r="E8" s="8" t="n">
        <v>2019</v>
      </c>
      <c r="F8" s="8"/>
      <c r="G8" s="8" t="s">
        <v>481</v>
      </c>
      <c r="H8" s="8"/>
      <c r="I8" s="8" t="n">
        <v>1</v>
      </c>
      <c r="J8" s="8"/>
      <c r="K8" s="8" t="s">
        <v>482</v>
      </c>
      <c r="L8" s="8"/>
    </row>
    <row r="9" customFormat="false" ht="23.25" hidden="false" customHeight="true" outlineLevel="0" collapsed="false">
      <c r="A9" s="8" t="s">
        <v>483</v>
      </c>
      <c r="B9" s="8" t="s">
        <v>468</v>
      </c>
      <c r="C9" s="8" t="s">
        <v>484</v>
      </c>
      <c r="D9" s="8" t="s">
        <v>485</v>
      </c>
      <c r="E9" s="8" t="n">
        <v>2014</v>
      </c>
      <c r="F9" s="8"/>
      <c r="G9" s="8" t="s">
        <v>486</v>
      </c>
      <c r="H9" s="8"/>
      <c r="I9" s="8" t="n">
        <v>1</v>
      </c>
      <c r="J9" s="8"/>
      <c r="K9" s="8" t="s">
        <v>487</v>
      </c>
      <c r="L9" s="8" t="s">
        <v>488</v>
      </c>
    </row>
    <row r="10" customFormat="false" ht="23.25" hidden="false" customHeight="true" outlineLevel="0" collapsed="false">
      <c r="A10" s="8" t="s">
        <v>489</v>
      </c>
      <c r="B10" s="8" t="s">
        <v>490</v>
      </c>
      <c r="C10" s="8" t="s">
        <v>491</v>
      </c>
      <c r="D10" s="8" t="s">
        <v>492</v>
      </c>
      <c r="E10" s="8" t="n">
        <v>2015</v>
      </c>
      <c r="F10" s="8"/>
      <c r="G10" s="8" t="s">
        <v>493</v>
      </c>
      <c r="H10" s="8"/>
      <c r="I10" s="8" t="n">
        <v>1</v>
      </c>
      <c r="J10" s="8"/>
      <c r="K10" s="8" t="s">
        <v>494</v>
      </c>
      <c r="L10" s="8"/>
    </row>
    <row r="11" customFormat="false" ht="23.25" hidden="false" customHeight="true" outlineLevel="0" collapsed="false">
      <c r="A11" s="8" t="s">
        <v>396</v>
      </c>
      <c r="B11" s="8" t="s">
        <v>468</v>
      </c>
      <c r="C11" s="8" t="s">
        <v>495</v>
      </c>
      <c r="D11" s="8" t="s">
        <v>496</v>
      </c>
      <c r="E11" s="8" t="n">
        <v>2000</v>
      </c>
      <c r="F11" s="8"/>
      <c r="G11" s="8" t="s">
        <v>497</v>
      </c>
      <c r="H11" s="8"/>
      <c r="I11" s="8" t="n">
        <v>1</v>
      </c>
      <c r="J11" s="8"/>
      <c r="K11" s="8" t="s">
        <v>498</v>
      </c>
      <c r="L11" s="8"/>
    </row>
    <row r="12" customFormat="false" ht="23.25" hidden="false" customHeight="true" outlineLevel="0" collapsed="false">
      <c r="A12" s="8" t="s">
        <v>383</v>
      </c>
      <c r="B12" s="8" t="s">
        <v>499</v>
      </c>
      <c r="C12" s="8" t="s">
        <v>500</v>
      </c>
      <c r="D12" s="8" t="s">
        <v>501</v>
      </c>
      <c r="E12" s="8" t="n">
        <v>2009</v>
      </c>
      <c r="F12" s="8"/>
      <c r="G12" s="8"/>
      <c r="H12" s="8" t="s">
        <v>502</v>
      </c>
      <c r="I12" s="8" t="n">
        <v>0.9</v>
      </c>
      <c r="J12" s="8"/>
      <c r="K12" s="8" t="s">
        <v>503</v>
      </c>
      <c r="L12" s="8"/>
    </row>
    <row r="13" customFormat="false" ht="23.25" hidden="false" customHeight="true" outlineLevel="0" collapsed="false">
      <c r="A13" s="8" t="s">
        <v>504</v>
      </c>
      <c r="B13" s="8" t="s">
        <v>468</v>
      </c>
      <c r="C13" s="8" t="s">
        <v>505</v>
      </c>
      <c r="D13" s="8" t="s">
        <v>506</v>
      </c>
      <c r="E13" s="8" t="n">
        <v>2016</v>
      </c>
      <c r="F13" s="8"/>
      <c r="G13" s="8" t="s">
        <v>507</v>
      </c>
      <c r="H13" s="8"/>
      <c r="I13" s="8" t="n">
        <v>1</v>
      </c>
      <c r="J13" s="8"/>
      <c r="K13" s="8" t="s">
        <v>508</v>
      </c>
      <c r="L13" s="8"/>
    </row>
    <row r="14" customFormat="false" ht="15" hidden="false" customHeight="true" outlineLevel="0" collapsed="false">
      <c r="A14" s="8" t="s">
        <v>477</v>
      </c>
      <c r="B14" s="8" t="s">
        <v>468</v>
      </c>
      <c r="C14" s="8" t="s">
        <v>509</v>
      </c>
      <c r="D14" s="8" t="s">
        <v>475</v>
      </c>
      <c r="E14" s="8" t="n">
        <v>2022</v>
      </c>
      <c r="F14" s="8"/>
      <c r="G14" s="8" t="s">
        <v>510</v>
      </c>
      <c r="H14" s="8"/>
      <c r="I14" s="8" t="n">
        <v>1</v>
      </c>
      <c r="J14" s="8"/>
      <c r="K14" s="8" t="s">
        <v>511</v>
      </c>
      <c r="L14" s="8" t="s">
        <v>512</v>
      </c>
    </row>
    <row r="15" customFormat="false" ht="15" hidden="false" customHeight="true" outlineLevel="0" collapsed="false">
      <c r="A15" s="8" t="s">
        <v>513</v>
      </c>
      <c r="B15" s="8" t="s">
        <v>448</v>
      </c>
      <c r="C15" s="8" t="s">
        <v>514</v>
      </c>
      <c r="D15" s="8" t="s">
        <v>450</v>
      </c>
      <c r="E15" s="8" t="n">
        <v>2018</v>
      </c>
      <c r="F15" s="8" t="s">
        <v>515</v>
      </c>
      <c r="G15" s="8"/>
      <c r="H15" s="8" t="s">
        <v>452</v>
      </c>
      <c r="I15" s="8" t="n">
        <v>1</v>
      </c>
      <c r="J15" s="8"/>
      <c r="K15" s="8" t="s">
        <v>516</v>
      </c>
      <c r="L15" s="8"/>
    </row>
    <row r="16" customFormat="false" ht="15" hidden="false" customHeight="true" outlineLevel="0" collapsed="false">
      <c r="A16" s="8" t="s">
        <v>517</v>
      </c>
      <c r="B16" s="8" t="s">
        <v>448</v>
      </c>
      <c r="C16" s="8" t="s">
        <v>518</v>
      </c>
      <c r="D16" s="8" t="s">
        <v>450</v>
      </c>
      <c r="E16" s="8" t="n">
        <v>2018</v>
      </c>
      <c r="F16" s="8" t="s">
        <v>519</v>
      </c>
      <c r="G16" s="8"/>
      <c r="H16" s="8" t="s">
        <v>452</v>
      </c>
      <c r="I16" s="8" t="n">
        <v>1</v>
      </c>
      <c r="J16" s="8"/>
      <c r="K16" s="8" t="s">
        <v>520</v>
      </c>
      <c r="L16" s="8"/>
    </row>
    <row r="17" customFormat="false" ht="15" hidden="false" customHeight="true" outlineLevel="0" collapsed="false">
      <c r="A17" s="8" t="s">
        <v>521</v>
      </c>
      <c r="B17" s="8" t="s">
        <v>468</v>
      </c>
      <c r="C17" s="8" t="s">
        <v>522</v>
      </c>
      <c r="D17" s="8" t="s">
        <v>523</v>
      </c>
      <c r="E17" s="8" t="n">
        <v>2004</v>
      </c>
      <c r="F17" s="8"/>
      <c r="G17" s="8"/>
      <c r="H17" s="8"/>
      <c r="I17" s="8" t="n">
        <v>1</v>
      </c>
      <c r="J17" s="8"/>
      <c r="K17" s="8" t="s">
        <v>524</v>
      </c>
      <c r="L17" s="8"/>
    </row>
    <row r="18" customFormat="false" ht="15" hidden="false" customHeight="true" outlineLevel="0" collapsed="false">
      <c r="A18" s="8" t="s">
        <v>409</v>
      </c>
      <c r="B18" s="8" t="s">
        <v>499</v>
      </c>
      <c r="C18" s="8" t="s">
        <v>525</v>
      </c>
      <c r="D18" s="8" t="s">
        <v>526</v>
      </c>
      <c r="E18" s="8" t="n">
        <v>1997</v>
      </c>
      <c r="F18" s="8"/>
      <c r="G18" s="8"/>
      <c r="H18" s="8" t="s">
        <v>527</v>
      </c>
      <c r="I18" s="8" t="n">
        <v>0.6</v>
      </c>
      <c r="J18" s="8"/>
      <c r="K18" s="8" t="s">
        <v>528</v>
      </c>
      <c r="L18" s="8" t="s">
        <v>529</v>
      </c>
    </row>
    <row r="19" customFormat="false" ht="15" hidden="false" customHeight="true" outlineLevel="0" collapsed="false">
      <c r="A19" s="8" t="s">
        <v>530</v>
      </c>
      <c r="B19" s="8" t="s">
        <v>468</v>
      </c>
      <c r="C19" s="8" t="s">
        <v>531</v>
      </c>
      <c r="D19" s="8" t="s">
        <v>532</v>
      </c>
      <c r="E19" s="8" t="n">
        <v>2009</v>
      </c>
      <c r="F19" s="8"/>
      <c r="G19" s="8" t="s">
        <v>533</v>
      </c>
      <c r="H19" s="8"/>
      <c r="I19" s="8" t="n">
        <v>1</v>
      </c>
      <c r="J19" s="8"/>
      <c r="K19" s="8" t="s">
        <v>534</v>
      </c>
      <c r="L19" s="8"/>
    </row>
    <row r="20" customFormat="false" ht="15" hidden="false" customHeight="true" outlineLevel="0" collapsed="false">
      <c r="A20" s="8" t="s">
        <v>535</v>
      </c>
      <c r="B20" s="8" t="s">
        <v>490</v>
      </c>
      <c r="C20" s="8" t="s">
        <v>536</v>
      </c>
      <c r="D20" s="8" t="s">
        <v>537</v>
      </c>
      <c r="E20" s="8" t="n">
        <v>2018</v>
      </c>
      <c r="F20" s="8"/>
      <c r="G20" s="8" t="s">
        <v>538</v>
      </c>
      <c r="H20" s="8"/>
      <c r="I20" s="8" t="n">
        <v>1</v>
      </c>
      <c r="J20" s="8"/>
      <c r="K20" s="8" t="s">
        <v>539</v>
      </c>
      <c r="L20" s="8"/>
    </row>
    <row r="21" customFormat="false" ht="15" hidden="false" customHeight="true" outlineLevel="0" collapsed="false">
      <c r="A21" s="8" t="s">
        <v>540</v>
      </c>
      <c r="B21" s="8" t="s">
        <v>468</v>
      </c>
      <c r="C21" s="8" t="s">
        <v>541</v>
      </c>
      <c r="D21" s="8" t="s">
        <v>542</v>
      </c>
      <c r="E21" s="8" t="n">
        <v>2012</v>
      </c>
      <c r="F21" s="8"/>
      <c r="G21" s="8" t="s">
        <v>543</v>
      </c>
      <c r="H21" s="8"/>
      <c r="I21" s="8" t="n">
        <v>1</v>
      </c>
      <c r="J21" s="8"/>
      <c r="K21" s="8" t="s">
        <v>544</v>
      </c>
      <c r="L21" s="8"/>
    </row>
    <row r="22" customFormat="false" ht="15" hidden="false" customHeight="true" outlineLevel="0" collapsed="false">
      <c r="A22" s="8" t="s">
        <v>545</v>
      </c>
      <c r="B22" s="8" t="s">
        <v>468</v>
      </c>
      <c r="C22" s="8" t="s">
        <v>546</v>
      </c>
      <c r="D22" s="8" t="s">
        <v>547</v>
      </c>
      <c r="E22" s="8" t="n">
        <v>1999</v>
      </c>
      <c r="F22" s="8"/>
      <c r="G22" s="8" t="s">
        <v>548</v>
      </c>
      <c r="H22" s="8"/>
      <c r="I22" s="8" t="n">
        <v>1</v>
      </c>
      <c r="J22" s="8"/>
      <c r="K22" s="8" t="s">
        <v>498</v>
      </c>
      <c r="L22" s="8"/>
    </row>
    <row r="23" customFormat="false" ht="15" hidden="false" customHeight="true" outlineLevel="0" collapsed="false">
      <c r="A23" s="8" t="s">
        <v>549</v>
      </c>
      <c r="B23" s="8" t="s">
        <v>468</v>
      </c>
      <c r="C23" s="8" t="s">
        <v>550</v>
      </c>
      <c r="D23" s="8" t="s">
        <v>551</v>
      </c>
      <c r="E23" s="8" t="n">
        <v>1993</v>
      </c>
      <c r="F23" s="8"/>
      <c r="G23" s="8" t="s">
        <v>552</v>
      </c>
      <c r="H23" s="8"/>
      <c r="I23" s="8" t="n">
        <v>1</v>
      </c>
      <c r="J23" s="8"/>
      <c r="K23" s="8" t="s">
        <v>553</v>
      </c>
      <c r="L23" s="8"/>
    </row>
    <row r="24" customFormat="false" ht="15" hidden="false" customHeight="true" outlineLevel="0" collapsed="false">
      <c r="A24" s="8" t="s">
        <v>554</v>
      </c>
      <c r="B24" s="8" t="s">
        <v>468</v>
      </c>
      <c r="C24" s="8" t="s">
        <v>555</v>
      </c>
      <c r="D24" s="8" t="s">
        <v>556</v>
      </c>
      <c r="E24" s="8" t="n">
        <v>1997</v>
      </c>
      <c r="F24" s="8"/>
      <c r="G24" s="8" t="s">
        <v>557</v>
      </c>
      <c r="H24" s="8"/>
      <c r="I24" s="8" t="n">
        <v>1</v>
      </c>
      <c r="J24" s="8"/>
      <c r="K24" s="8" t="s">
        <v>558</v>
      </c>
      <c r="L24" s="8"/>
    </row>
    <row r="25" customFormat="false" ht="15" hidden="false" customHeight="true" outlineLevel="0" collapsed="false">
      <c r="A25" s="8" t="s">
        <v>559</v>
      </c>
      <c r="B25" s="8" t="s">
        <v>468</v>
      </c>
      <c r="C25" s="8" t="s">
        <v>560</v>
      </c>
      <c r="D25" s="8" t="s">
        <v>561</v>
      </c>
      <c r="E25" s="8" t="n">
        <v>2009</v>
      </c>
      <c r="F25" s="8"/>
      <c r="G25" s="8" t="s">
        <v>562</v>
      </c>
      <c r="H25" s="8"/>
      <c r="I25" s="8" t="n">
        <v>1</v>
      </c>
      <c r="J25" s="8"/>
      <c r="K25" s="8" t="s">
        <v>563</v>
      </c>
      <c r="L25" s="8"/>
    </row>
    <row r="26" customFormat="false" ht="15" hidden="false" customHeight="true" outlineLevel="0" collapsed="false">
      <c r="A26" s="8" t="s">
        <v>564</v>
      </c>
      <c r="B26" s="8" t="s">
        <v>490</v>
      </c>
      <c r="C26" s="8" t="s">
        <v>565</v>
      </c>
      <c r="D26" s="8" t="s">
        <v>566</v>
      </c>
      <c r="E26" s="8" t="n">
        <v>2019</v>
      </c>
      <c r="F26" s="8"/>
      <c r="G26" s="8" t="s">
        <v>567</v>
      </c>
      <c r="H26" s="8"/>
      <c r="I26" s="8" t="n">
        <v>1</v>
      </c>
      <c r="J26" s="8"/>
      <c r="K26" s="8" t="s">
        <v>568</v>
      </c>
      <c r="L26" s="8"/>
    </row>
    <row r="27" customFormat="false" ht="15" hidden="false" customHeight="true" outlineLevel="0" collapsed="false">
      <c r="A27" s="8" t="s">
        <v>569</v>
      </c>
      <c r="B27" s="8" t="s">
        <v>468</v>
      </c>
      <c r="C27" s="8" t="s">
        <v>570</v>
      </c>
      <c r="D27" s="8" t="s">
        <v>571</v>
      </c>
      <c r="E27" s="8" t="n">
        <v>2015</v>
      </c>
      <c r="F27" s="8"/>
      <c r="G27" s="8" t="s">
        <v>572</v>
      </c>
      <c r="H27" s="8"/>
      <c r="I27" s="8" t="n">
        <v>1</v>
      </c>
      <c r="J27" s="8"/>
      <c r="K27" s="8" t="s">
        <v>573</v>
      </c>
      <c r="L27" s="8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</sheetData>
  <dataValidations count="1">
    <dataValidation allowBlank="true" errorStyle="stop" operator="between" showDropDown="false" showErrorMessage="false" showInputMessage="false" sqref="I2:I5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60"/>
    <col collapsed="false" customWidth="true" hidden="false" outlineLevel="0" max="7" min="5" style="1" width="26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32"/>
  </cols>
  <sheetData>
    <row r="1" customFormat="false" ht="30" hidden="false" customHeight="true" outlineLevel="0" collapsed="false">
      <c r="A1" s="5" t="s">
        <v>574</v>
      </c>
      <c r="B1" s="5" t="s">
        <v>575</v>
      </c>
      <c r="C1" s="5" t="s">
        <v>576</v>
      </c>
      <c r="D1" s="5" t="s">
        <v>577</v>
      </c>
      <c r="E1" s="5" t="s">
        <v>578</v>
      </c>
      <c r="F1" s="5" t="s">
        <v>579</v>
      </c>
      <c r="G1" s="5" t="s">
        <v>580</v>
      </c>
      <c r="H1" s="5" t="s">
        <v>581</v>
      </c>
      <c r="I1" s="5" t="s">
        <v>127</v>
      </c>
      <c r="J1" s="5" t="s">
        <v>59</v>
      </c>
    </row>
    <row r="2" customFormat="false" ht="23.25" hidden="false" customHeight="true" outlineLevel="0" collapsed="false">
      <c r="A2" s="8" t="s">
        <v>582</v>
      </c>
      <c r="B2" s="8" t="s">
        <v>583</v>
      </c>
      <c r="C2" s="8" t="s">
        <v>362</v>
      </c>
      <c r="D2" s="8" t="s">
        <v>584</v>
      </c>
      <c r="E2" s="8" t="s">
        <v>585</v>
      </c>
      <c r="F2" s="8" t="s">
        <v>336</v>
      </c>
      <c r="G2" s="8"/>
      <c r="H2" s="8" t="n">
        <v>5</v>
      </c>
      <c r="I2" s="9" t="b">
        <f aca="false">FALSE()</f>
        <v>0</v>
      </c>
      <c r="J2" s="8" t="s">
        <v>586</v>
      </c>
    </row>
    <row r="3" customFormat="false" ht="45.75" hidden="false" customHeight="true" outlineLevel="0" collapsed="false">
      <c r="A3" s="8" t="s">
        <v>587</v>
      </c>
      <c r="B3" s="8" t="s">
        <v>583</v>
      </c>
      <c r="C3" s="8" t="s">
        <v>367</v>
      </c>
      <c r="D3" s="8" t="s">
        <v>588</v>
      </c>
      <c r="E3" s="8" t="s">
        <v>589</v>
      </c>
      <c r="F3" s="8" t="s">
        <v>590</v>
      </c>
      <c r="G3" s="8"/>
      <c r="H3" s="8" t="n">
        <v>4</v>
      </c>
      <c r="I3" s="9" t="b">
        <f aca="false">TRUE()</f>
        <v>1</v>
      </c>
      <c r="J3" s="8" t="s">
        <v>591</v>
      </c>
    </row>
    <row r="4" customFormat="false" ht="23.25" hidden="false" customHeight="true" outlineLevel="0" collapsed="false">
      <c r="A4" s="8" t="s">
        <v>592</v>
      </c>
      <c r="B4" s="8" t="s">
        <v>593</v>
      </c>
      <c r="C4" s="8" t="s">
        <v>128</v>
      </c>
      <c r="D4" s="8" t="s">
        <v>594</v>
      </c>
      <c r="E4" s="8"/>
      <c r="F4" s="8" t="s">
        <v>595</v>
      </c>
      <c r="G4" s="8"/>
      <c r="H4" s="8" t="n">
        <v>5</v>
      </c>
      <c r="I4" s="9" t="b">
        <f aca="false">FALSE()</f>
        <v>0</v>
      </c>
      <c r="J4" s="8"/>
    </row>
    <row r="5" customFormat="false" ht="23.25" hidden="false" customHeight="true" outlineLevel="0" collapsed="false">
      <c r="A5" s="8" t="s">
        <v>596</v>
      </c>
      <c r="B5" s="8" t="s">
        <v>597</v>
      </c>
      <c r="C5" s="8" t="s">
        <v>378</v>
      </c>
      <c r="D5" s="8" t="s">
        <v>598</v>
      </c>
      <c r="E5" s="8"/>
      <c r="F5" s="8" t="s">
        <v>599</v>
      </c>
      <c r="G5" s="8"/>
      <c r="H5" s="8" t="n">
        <v>5</v>
      </c>
      <c r="I5" s="9" t="b">
        <f aca="false">FALSE()</f>
        <v>0</v>
      </c>
      <c r="J5" s="8"/>
    </row>
    <row r="6" customFormat="false" ht="34.5" hidden="false" customHeight="true" outlineLevel="0" collapsed="false">
      <c r="A6" s="8" t="s">
        <v>600</v>
      </c>
      <c r="B6" s="8" t="s">
        <v>601</v>
      </c>
      <c r="C6" s="8" t="s">
        <v>602</v>
      </c>
      <c r="D6" s="8" t="s">
        <v>603</v>
      </c>
      <c r="E6" s="8"/>
      <c r="F6" s="8"/>
      <c r="G6" s="8"/>
      <c r="H6" s="8" t="n">
        <v>2</v>
      </c>
      <c r="I6" s="9" t="b">
        <f aca="false">TRUE()</f>
        <v>1</v>
      </c>
      <c r="J6" s="8" t="s">
        <v>604</v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</row>
  </sheetData>
  <dataValidations count="2">
    <dataValidation allowBlank="true" errorStyle="stop" operator="between" showDropDown="false" showErrorMessage="false" showInputMessage="false" sqref="H2:H500" type="whole">
      <formula1>1</formula1>
      <formula2>5</formula2>
    </dataValidation>
    <dataValidation allowBlank="true" errorStyle="stop" operator="between" showDropDown="false" showErrorMessage="false" showInputMessage="false" sqref="I2:I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60"/>
    <col collapsed="false" customWidth="true" hidden="false" outlineLevel="0" max="5" min="5" style="1" width="30"/>
    <col collapsed="false" customWidth="true" hidden="false" outlineLevel="0" max="6" min="6" style="1" width="40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30"/>
  </cols>
  <sheetData>
    <row r="1" customFormat="false" ht="30" hidden="false" customHeight="true" outlineLevel="0" collapsed="false">
      <c r="A1" s="5" t="s">
        <v>605</v>
      </c>
      <c r="B1" s="5" t="s">
        <v>116</v>
      </c>
      <c r="C1" s="5" t="s">
        <v>606</v>
      </c>
      <c r="D1" s="5" t="s">
        <v>607</v>
      </c>
      <c r="E1" s="5" t="s">
        <v>608</v>
      </c>
      <c r="F1" s="5" t="s">
        <v>609</v>
      </c>
      <c r="G1" s="5" t="s">
        <v>610</v>
      </c>
      <c r="H1" s="5" t="s">
        <v>611</v>
      </c>
      <c r="I1" s="5" t="s">
        <v>58</v>
      </c>
      <c r="J1" s="5" t="s">
        <v>59</v>
      </c>
    </row>
    <row r="2" customFormat="false" ht="34.5" hidden="false" customHeight="true" outlineLevel="0" collapsed="false">
      <c r="A2" s="8" t="s">
        <v>612</v>
      </c>
      <c r="B2" s="8" t="s">
        <v>613</v>
      </c>
      <c r="C2" s="8" t="s">
        <v>129</v>
      </c>
      <c r="D2" s="8" t="s">
        <v>614</v>
      </c>
      <c r="E2" s="8" t="s">
        <v>615</v>
      </c>
      <c r="F2" s="8" t="s">
        <v>616</v>
      </c>
      <c r="G2" s="8"/>
      <c r="H2" s="9" t="b">
        <f aca="false">TRUE()</f>
        <v>1</v>
      </c>
      <c r="I2" s="8" t="s">
        <v>617</v>
      </c>
      <c r="J2" s="8" t="s">
        <v>618</v>
      </c>
    </row>
    <row r="3" customFormat="false" ht="34.5" hidden="false" customHeight="true" outlineLevel="0" collapsed="false">
      <c r="A3" s="8" t="s">
        <v>619</v>
      </c>
      <c r="B3" s="8" t="s">
        <v>620</v>
      </c>
      <c r="C3" s="8" t="s">
        <v>129</v>
      </c>
      <c r="D3" s="8" t="s">
        <v>621</v>
      </c>
      <c r="E3" s="8" t="s">
        <v>622</v>
      </c>
      <c r="F3" s="8" t="s">
        <v>623</v>
      </c>
      <c r="G3" s="8" t="s">
        <v>612</v>
      </c>
      <c r="H3" s="9" t="b">
        <f aca="false">TRUE()</f>
        <v>1</v>
      </c>
      <c r="I3" s="8" t="s">
        <v>617</v>
      </c>
      <c r="J3" s="8" t="s">
        <v>624</v>
      </c>
    </row>
    <row r="4" customFormat="false" ht="23.25" hidden="false" customHeight="true" outlineLevel="0" collapsed="false">
      <c r="A4" s="8" t="s">
        <v>625</v>
      </c>
      <c r="B4" s="8" t="s">
        <v>626</v>
      </c>
      <c r="C4" s="8" t="s">
        <v>627</v>
      </c>
      <c r="D4" s="8" t="s">
        <v>628</v>
      </c>
      <c r="E4" s="8" t="s">
        <v>629</v>
      </c>
      <c r="F4" s="8" t="s">
        <v>630</v>
      </c>
      <c r="G4" s="8"/>
      <c r="H4" s="9" t="b">
        <f aca="false">TRUE()</f>
        <v>1</v>
      </c>
      <c r="I4" s="8" t="s">
        <v>617</v>
      </c>
      <c r="J4" s="8" t="s">
        <v>631</v>
      </c>
    </row>
    <row r="5" customFormat="false" ht="34.5" hidden="false" customHeight="true" outlineLevel="0" collapsed="false">
      <c r="A5" s="8" t="s">
        <v>632</v>
      </c>
      <c r="B5" s="8" t="s">
        <v>633</v>
      </c>
      <c r="C5" s="8" t="s">
        <v>627</v>
      </c>
      <c r="D5" s="8" t="s">
        <v>634</v>
      </c>
      <c r="E5" s="8" t="s">
        <v>635</v>
      </c>
      <c r="F5" s="8" t="s">
        <v>636</v>
      </c>
      <c r="G5" s="8"/>
      <c r="H5" s="9" t="b">
        <f aca="false">FALSE()</f>
        <v>0</v>
      </c>
      <c r="I5" s="8" t="s">
        <v>617</v>
      </c>
      <c r="J5" s="8" t="s">
        <v>637</v>
      </c>
    </row>
    <row r="6" customFormat="false" ht="34.5" hidden="false" customHeight="true" outlineLevel="0" collapsed="false">
      <c r="A6" s="8" t="s">
        <v>638</v>
      </c>
      <c r="B6" s="8" t="s">
        <v>639</v>
      </c>
      <c r="C6" s="8" t="s">
        <v>195</v>
      </c>
      <c r="D6" s="8" t="s">
        <v>640</v>
      </c>
      <c r="E6" s="8" t="s">
        <v>641</v>
      </c>
      <c r="F6" s="8" t="s">
        <v>642</v>
      </c>
      <c r="G6" s="8"/>
      <c r="H6" s="9" t="b">
        <f aca="false">FALSE()</f>
        <v>0</v>
      </c>
      <c r="I6" s="8" t="s">
        <v>617</v>
      </c>
      <c r="J6" s="8" t="s">
        <v>643</v>
      </c>
    </row>
    <row r="7" customFormat="false" ht="45.75" hidden="false" customHeight="true" outlineLevel="0" collapsed="false">
      <c r="A7" s="8" t="s">
        <v>644</v>
      </c>
      <c r="B7" s="8" t="s">
        <v>645</v>
      </c>
      <c r="C7" s="8" t="s">
        <v>195</v>
      </c>
      <c r="D7" s="8" t="s">
        <v>646</v>
      </c>
      <c r="E7" s="8" t="s">
        <v>647</v>
      </c>
      <c r="F7" s="8" t="s">
        <v>648</v>
      </c>
      <c r="G7" s="8"/>
      <c r="H7" s="9" t="b">
        <f aca="false">FALSE()</f>
        <v>0</v>
      </c>
      <c r="I7" s="8" t="s">
        <v>617</v>
      </c>
      <c r="J7" s="8" t="s">
        <v>643</v>
      </c>
    </row>
    <row r="8" customFormat="false" ht="34.5" hidden="false" customHeight="true" outlineLevel="0" collapsed="false">
      <c r="A8" s="8" t="s">
        <v>649</v>
      </c>
      <c r="B8" s="8" t="s">
        <v>650</v>
      </c>
      <c r="C8" s="8" t="s">
        <v>195</v>
      </c>
      <c r="D8" s="8" t="s">
        <v>651</v>
      </c>
      <c r="E8" s="8" t="s">
        <v>652</v>
      </c>
      <c r="F8" s="8" t="s">
        <v>653</v>
      </c>
      <c r="G8" s="8"/>
      <c r="H8" s="9" t="b">
        <f aca="false">FALSE()</f>
        <v>0</v>
      </c>
      <c r="I8" s="8" t="s">
        <v>617</v>
      </c>
      <c r="J8" s="8" t="s">
        <v>643</v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</sheetData>
  <dataValidations count="2">
    <dataValidation allowBlank="true" errorStyle="stop" operator="between" showDropDown="false" showErrorMessage="false" showInputMessage="false" sqref="H2:H500" type="list">
      <formula1>"TRUE,FALSE"</formula1>
      <formula2>0</formula2>
    </dataValidation>
    <dataValidation allowBlank="true" errorStyle="stop" operator="between" showDropDown="false" showErrorMessage="false" showInputMessage="false" sqref="I2:I500" type="list">
      <formula1>"admitted,provisional,rejected,retired"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50"/>
    <col collapsed="false" customWidth="true" hidden="false" outlineLevel="0" max="7" min="7" style="1" width="22"/>
    <col collapsed="false" customWidth="true" hidden="false" outlineLevel="0" max="8" min="8" style="1" width="36"/>
    <col collapsed="false" customWidth="true" hidden="false" outlineLevel="0" max="9" min="9" style="1" width="32"/>
  </cols>
  <sheetData>
    <row r="1" customFormat="false" ht="30" hidden="false" customHeight="true" outlineLevel="0" collapsed="false">
      <c r="A1" s="5" t="s">
        <v>654</v>
      </c>
      <c r="B1" s="5" t="s">
        <v>605</v>
      </c>
      <c r="C1" s="5" t="s">
        <v>575</v>
      </c>
      <c r="D1" s="5" t="s">
        <v>576</v>
      </c>
      <c r="E1" s="5" t="s">
        <v>655</v>
      </c>
      <c r="F1" s="5" t="s">
        <v>656</v>
      </c>
      <c r="G1" s="5" t="s">
        <v>657</v>
      </c>
      <c r="H1" s="5" t="s">
        <v>658</v>
      </c>
      <c r="I1" s="5" t="s">
        <v>59</v>
      </c>
    </row>
    <row r="2" customFormat="false" ht="23.25" hidden="false" customHeight="true" outlineLevel="0" collapsed="false">
      <c r="A2" s="8" t="s">
        <v>659</v>
      </c>
      <c r="B2" s="8" t="s">
        <v>612</v>
      </c>
      <c r="C2" s="8" t="s">
        <v>660</v>
      </c>
      <c r="D2" s="8" t="s">
        <v>587</v>
      </c>
      <c r="E2" s="8" t="s">
        <v>661</v>
      </c>
      <c r="F2" s="8"/>
      <c r="G2" s="8"/>
      <c r="H2" s="8"/>
      <c r="I2" s="8" t="s">
        <v>662</v>
      </c>
    </row>
    <row r="3" customFormat="false" ht="23.25" hidden="false" customHeight="true" outlineLevel="0" collapsed="false">
      <c r="A3" s="8" t="s">
        <v>663</v>
      </c>
      <c r="B3" s="8" t="s">
        <v>625</v>
      </c>
      <c r="C3" s="8" t="s">
        <v>660</v>
      </c>
      <c r="D3" s="8" t="s">
        <v>587</v>
      </c>
      <c r="E3" s="8" t="s">
        <v>661</v>
      </c>
      <c r="F3" s="8"/>
      <c r="G3" s="8" t="s">
        <v>589</v>
      </c>
      <c r="H3" s="8" t="s">
        <v>664</v>
      </c>
      <c r="I3" s="8" t="s">
        <v>665</v>
      </c>
    </row>
    <row r="4" customFormat="false" ht="34.5" hidden="false" customHeight="true" outlineLevel="0" collapsed="false">
      <c r="A4" s="8" t="s">
        <v>666</v>
      </c>
      <c r="B4" s="8" t="s">
        <v>632</v>
      </c>
      <c r="C4" s="8" t="s">
        <v>660</v>
      </c>
      <c r="D4" s="8" t="s">
        <v>587</v>
      </c>
      <c r="E4" s="8" t="s">
        <v>667</v>
      </c>
      <c r="F4" s="8" t="s">
        <v>668</v>
      </c>
      <c r="G4" s="8" t="s">
        <v>669</v>
      </c>
      <c r="H4" s="8" t="s">
        <v>670</v>
      </c>
      <c r="I4" s="8" t="s">
        <v>671</v>
      </c>
    </row>
    <row r="5" customFormat="false" ht="45.75" hidden="false" customHeight="true" outlineLevel="0" collapsed="false">
      <c r="A5" s="8" t="s">
        <v>672</v>
      </c>
      <c r="B5" s="8" t="s">
        <v>638</v>
      </c>
      <c r="C5" s="8" t="s">
        <v>601</v>
      </c>
      <c r="D5" s="8" t="s">
        <v>208</v>
      </c>
      <c r="E5" s="8" t="s">
        <v>673</v>
      </c>
      <c r="F5" s="8" t="s">
        <v>674</v>
      </c>
      <c r="G5" s="8"/>
      <c r="H5" s="8"/>
      <c r="I5" s="8" t="s">
        <v>675</v>
      </c>
    </row>
    <row r="6" customFormat="false" ht="45.75" hidden="false" customHeight="true" outlineLevel="0" collapsed="false">
      <c r="A6" s="8" t="s">
        <v>676</v>
      </c>
      <c r="B6" s="8" t="s">
        <v>644</v>
      </c>
      <c r="C6" s="8" t="s">
        <v>601</v>
      </c>
      <c r="D6" s="8" t="s">
        <v>208</v>
      </c>
      <c r="E6" s="8" t="s">
        <v>673</v>
      </c>
      <c r="F6" s="8" t="s">
        <v>677</v>
      </c>
      <c r="G6" s="8"/>
      <c r="H6" s="8"/>
      <c r="I6" s="8" t="s">
        <v>678</v>
      </c>
    </row>
    <row r="7" customFormat="false" ht="34.5" hidden="false" customHeight="true" outlineLevel="0" collapsed="false">
      <c r="A7" s="8" t="s">
        <v>679</v>
      </c>
      <c r="B7" s="8" t="s">
        <v>649</v>
      </c>
      <c r="C7" s="8" t="s">
        <v>601</v>
      </c>
      <c r="D7" s="8" t="s">
        <v>208</v>
      </c>
      <c r="E7" s="8" t="s">
        <v>673</v>
      </c>
      <c r="F7" s="8" t="s">
        <v>680</v>
      </c>
      <c r="G7" s="8"/>
      <c r="H7" s="8"/>
      <c r="I7" s="8"/>
    </row>
    <row r="8" customFormat="false" ht="34.5" hidden="false" customHeight="true" outlineLevel="0" collapsed="false">
      <c r="A8" s="8" t="s">
        <v>681</v>
      </c>
      <c r="B8" s="8" t="s">
        <v>638</v>
      </c>
      <c r="C8" s="8" t="s">
        <v>601</v>
      </c>
      <c r="D8" s="8" t="s">
        <v>201</v>
      </c>
      <c r="E8" s="8" t="s">
        <v>673</v>
      </c>
      <c r="F8" s="8" t="s">
        <v>682</v>
      </c>
      <c r="G8" s="8"/>
      <c r="H8" s="8"/>
      <c r="I8" s="8"/>
    </row>
    <row r="9" customFormat="false" ht="34.5" hidden="false" customHeight="true" outlineLevel="0" collapsed="false">
      <c r="A9" s="8" t="s">
        <v>683</v>
      </c>
      <c r="B9" s="8" t="s">
        <v>644</v>
      </c>
      <c r="C9" s="8" t="s">
        <v>601</v>
      </c>
      <c r="D9" s="8" t="s">
        <v>201</v>
      </c>
      <c r="E9" s="8" t="s">
        <v>673</v>
      </c>
      <c r="F9" s="8" t="s">
        <v>684</v>
      </c>
      <c r="G9" s="8"/>
      <c r="H9" s="8"/>
      <c r="I9" s="8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</row>
  </sheetData>
  <dataValidations count="1">
    <dataValidation allowBlank="true" errorStyle="stop" operator="between" showDropDown="false" showErrorMessage="false" showInputMessage="false" sqref="E2:E500" type="list">
      <formula1>"endorses,rejects,nuances,asserts"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35"/>
  </cols>
  <sheetData>
    <row r="1" customFormat="false" ht="30" hidden="false" customHeight="true" outlineLevel="0" collapsed="false">
      <c r="A1" s="5" t="s">
        <v>685</v>
      </c>
      <c r="B1" s="5" t="s">
        <v>116</v>
      </c>
      <c r="C1" s="5" t="s">
        <v>262</v>
      </c>
      <c r="D1" s="5" t="s">
        <v>267</v>
      </c>
      <c r="E1" s="5" t="s">
        <v>268</v>
      </c>
      <c r="F1" s="5" t="s">
        <v>269</v>
      </c>
      <c r="G1" s="5" t="s">
        <v>686</v>
      </c>
      <c r="H1" s="5" t="s">
        <v>59</v>
      </c>
    </row>
    <row r="2" customFormat="false" ht="23.25" hidden="false" customHeight="true" outlineLevel="0" collapsed="false">
      <c r="A2" s="8" t="s">
        <v>687</v>
      </c>
      <c r="B2" s="8" t="s">
        <v>147</v>
      </c>
      <c r="C2" s="8" t="s">
        <v>688</v>
      </c>
      <c r="D2" s="8" t="n">
        <v>47</v>
      </c>
      <c r="E2" s="8" t="n">
        <v>40</v>
      </c>
      <c r="F2" s="8" t="s">
        <v>689</v>
      </c>
      <c r="G2" s="8" t="s">
        <v>690</v>
      </c>
      <c r="H2" s="8" t="s">
        <v>691</v>
      </c>
    </row>
    <row r="3" customFormat="false" ht="15" hidden="false" customHeight="true" outlineLevel="0" collapsed="false">
      <c r="A3" s="8" t="s">
        <v>692</v>
      </c>
      <c r="B3" s="8" t="s">
        <v>359</v>
      </c>
      <c r="C3" s="8" t="s">
        <v>693</v>
      </c>
      <c r="D3" s="8" t="n">
        <v>39</v>
      </c>
      <c r="E3" s="8" t="n">
        <v>35</v>
      </c>
      <c r="F3" s="8" t="s">
        <v>694</v>
      </c>
      <c r="G3" s="8" t="s">
        <v>695</v>
      </c>
      <c r="H3" s="8" t="s">
        <v>696</v>
      </c>
    </row>
    <row r="4" customFormat="false" ht="15" hidden="false" customHeight="true" outlineLevel="0" collapsed="false">
      <c r="A4" s="8" t="s">
        <v>697</v>
      </c>
      <c r="B4" s="8" t="s">
        <v>698</v>
      </c>
      <c r="C4" s="8" t="s">
        <v>699</v>
      </c>
      <c r="D4" s="8" t="n">
        <v>65</v>
      </c>
      <c r="E4" s="8" t="n">
        <v>-170</v>
      </c>
      <c r="F4" s="8" t="s">
        <v>388</v>
      </c>
      <c r="G4" s="8"/>
      <c r="H4" s="8" t="s">
        <v>700</v>
      </c>
    </row>
    <row r="5" customFormat="false" ht="15" hidden="false" customHeight="true" outlineLevel="0" collapsed="false">
      <c r="A5" s="8" t="s">
        <v>701</v>
      </c>
      <c r="B5" s="8" t="s">
        <v>702</v>
      </c>
      <c r="C5" s="8" t="s">
        <v>703</v>
      </c>
      <c r="D5" s="8" t="n">
        <v>37.77</v>
      </c>
      <c r="E5" s="8" t="n">
        <v>-122.42</v>
      </c>
      <c r="F5" s="8" t="s">
        <v>300</v>
      </c>
      <c r="G5" s="8" t="s">
        <v>704</v>
      </c>
      <c r="H5" s="8"/>
    </row>
    <row r="6" customFormat="false" ht="15" hidden="false" customHeight="true" outlineLevel="0" collapsed="false">
      <c r="A6" s="8" t="s">
        <v>705</v>
      </c>
      <c r="B6" s="8" t="s">
        <v>706</v>
      </c>
      <c r="C6" s="8" t="s">
        <v>703</v>
      </c>
      <c r="D6" s="8" t="n">
        <v>33</v>
      </c>
      <c r="E6" s="8" t="n">
        <v>-86</v>
      </c>
      <c r="F6" s="8" t="s">
        <v>306</v>
      </c>
      <c r="G6" s="8" t="s">
        <v>704</v>
      </c>
      <c r="H6" s="8"/>
    </row>
    <row r="7" customFormat="false" ht="15" hidden="false" customHeight="true" outlineLevel="0" collapsed="false">
      <c r="A7" s="8" t="s">
        <v>690</v>
      </c>
      <c r="B7" s="8" t="s">
        <v>69</v>
      </c>
      <c r="C7" s="8" t="s">
        <v>707</v>
      </c>
      <c r="D7" s="8" t="n">
        <v>50</v>
      </c>
      <c r="E7" s="8" t="n">
        <v>80</v>
      </c>
      <c r="F7" s="8" t="s">
        <v>708</v>
      </c>
      <c r="G7" s="8"/>
      <c r="H7" s="8"/>
    </row>
    <row r="8" customFormat="false" ht="15" hidden="false" customHeight="true" outlineLevel="0" collapsed="false">
      <c r="A8" s="8" t="s">
        <v>695</v>
      </c>
      <c r="B8" s="8" t="s">
        <v>709</v>
      </c>
      <c r="C8" s="8" t="s">
        <v>693</v>
      </c>
      <c r="D8" s="8" t="n">
        <v>38</v>
      </c>
      <c r="E8" s="8" t="n">
        <v>42</v>
      </c>
      <c r="F8" s="8" t="s">
        <v>710</v>
      </c>
      <c r="G8" s="8" t="s">
        <v>690</v>
      </c>
      <c r="H8" s="8"/>
    </row>
    <row r="9" customFormat="false" ht="15" hidden="false" customHeight="true" outlineLevel="0" collapsed="false">
      <c r="A9" s="8" t="s">
        <v>704</v>
      </c>
      <c r="B9" s="8" t="s">
        <v>711</v>
      </c>
      <c r="C9" s="8" t="s">
        <v>712</v>
      </c>
      <c r="D9" s="8" t="n">
        <v>39</v>
      </c>
      <c r="E9" s="8" t="n">
        <v>-98</v>
      </c>
      <c r="F9" s="8" t="s">
        <v>713</v>
      </c>
      <c r="G9" s="8"/>
      <c r="H9" s="8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60"/>
  </cols>
  <sheetData>
    <row r="1" customFormat="false" ht="30" hidden="false" customHeight="true" outlineLevel="0" collapsed="false">
      <c r="A1" s="5" t="s">
        <v>714</v>
      </c>
      <c r="B1" s="5" t="s">
        <v>715</v>
      </c>
      <c r="C1" s="5" t="s">
        <v>716</v>
      </c>
    </row>
    <row r="2" customFormat="false" ht="15" hidden="false" customHeight="true" outlineLevel="0" collapsed="false">
      <c r="A2" s="7" t="s">
        <v>717</v>
      </c>
      <c r="B2" s="7" t="s">
        <v>718</v>
      </c>
      <c r="C2" s="7" t="s">
        <v>719</v>
      </c>
    </row>
    <row r="3" customFormat="false" ht="23.25" hidden="false" customHeight="true" outlineLevel="0" collapsed="false">
      <c r="A3" s="7" t="s">
        <v>720</v>
      </c>
      <c r="B3" s="7" t="s">
        <v>721</v>
      </c>
      <c r="C3" s="7" t="s">
        <v>722</v>
      </c>
    </row>
    <row r="4" customFormat="false" ht="15" hidden="false" customHeight="true" outlineLevel="0" collapsed="false">
      <c r="A4" s="7" t="s">
        <v>723</v>
      </c>
      <c r="B4" s="7" t="s">
        <v>724</v>
      </c>
      <c r="C4" s="7" t="s">
        <v>725</v>
      </c>
    </row>
    <row r="5" customFormat="false" ht="23.25" hidden="false" customHeight="true" outlineLevel="0" collapsed="false">
      <c r="A5" s="7" t="s">
        <v>726</v>
      </c>
      <c r="B5" s="7" t="s">
        <v>727</v>
      </c>
      <c r="C5" s="7" t="s">
        <v>728</v>
      </c>
    </row>
    <row r="6" customFormat="false" ht="15" hidden="false" customHeight="true" outlineLevel="0" collapsed="false">
      <c r="A6" s="7" t="s">
        <v>729</v>
      </c>
      <c r="B6" s="7" t="s">
        <v>730</v>
      </c>
      <c r="C6" s="7" t="s">
        <v>731</v>
      </c>
    </row>
    <row r="7" customFormat="false" ht="15" hidden="false" customHeight="true" outlineLevel="0" collapsed="false">
      <c r="A7" s="7" t="s">
        <v>601</v>
      </c>
      <c r="B7" s="7" t="s">
        <v>732</v>
      </c>
      <c r="C7" s="7" t="s">
        <v>253</v>
      </c>
    </row>
    <row r="8" customFormat="false" ht="15" hidden="false" customHeight="true" outlineLevel="0" collapsed="false">
      <c r="A8" s="7" t="s">
        <v>733</v>
      </c>
      <c r="B8" s="7" t="s">
        <v>734</v>
      </c>
      <c r="C8" s="7" t="s">
        <v>735</v>
      </c>
    </row>
    <row r="9" customFormat="false" ht="15" hidden="false" customHeight="true" outlineLevel="0" collapsed="false">
      <c r="A9" s="7" t="s">
        <v>736</v>
      </c>
      <c r="B9" s="7" t="s">
        <v>737</v>
      </c>
      <c r="C9" s="7" t="s">
        <v>312</v>
      </c>
    </row>
    <row r="10" customFormat="false" ht="15" hidden="false" customHeight="true" outlineLevel="0" collapsed="false">
      <c r="A10" s="7" t="s">
        <v>738</v>
      </c>
      <c r="B10" s="7" t="s">
        <v>739</v>
      </c>
      <c r="C10" s="7" t="s">
        <v>740</v>
      </c>
    </row>
    <row r="11" customFormat="false" ht="23.25" hidden="false" customHeight="true" outlineLevel="0" collapsed="false">
      <c r="A11" s="7" t="s">
        <v>583</v>
      </c>
      <c r="B11" s="7" t="s">
        <v>741</v>
      </c>
      <c r="C11" s="7" t="s">
        <v>742</v>
      </c>
    </row>
    <row r="12" customFormat="false" ht="23.25" hidden="false" customHeight="true" outlineLevel="0" collapsed="false">
      <c r="A12" s="7" t="s">
        <v>597</v>
      </c>
      <c r="B12" s="7" t="s">
        <v>743</v>
      </c>
      <c r="C12" s="7" t="s">
        <v>744</v>
      </c>
    </row>
    <row r="13" customFormat="false" ht="15" hidden="false" customHeight="true" outlineLevel="0" collapsed="false">
      <c r="A13" s="7" t="s">
        <v>745</v>
      </c>
      <c r="B13" s="7" t="s">
        <v>746</v>
      </c>
      <c r="C13" s="7" t="s">
        <v>747</v>
      </c>
    </row>
    <row r="14" customFormat="false" ht="15" hidden="false" customHeight="true" outlineLevel="0" collapsed="false">
      <c r="A14" s="7" t="s">
        <v>748</v>
      </c>
      <c r="B14" s="7" t="s">
        <v>749</v>
      </c>
      <c r="C14" s="7" t="s">
        <v>750</v>
      </c>
    </row>
    <row r="15" customFormat="false" ht="15" hidden="false" customHeight="true" outlineLevel="0" collapsed="false">
      <c r="A15" s="7" t="s">
        <v>751</v>
      </c>
      <c r="B15" s="7" t="s">
        <v>752</v>
      </c>
      <c r="C15" s="7" t="s">
        <v>753</v>
      </c>
    </row>
    <row r="16" customFormat="false" ht="15" hidden="false" customHeight="true" outlineLevel="0" collapsed="false">
      <c r="A16" s="7" t="s">
        <v>754</v>
      </c>
      <c r="B16" s="7" t="s">
        <v>755</v>
      </c>
      <c r="C16" s="7" t="s">
        <v>756</v>
      </c>
    </row>
    <row r="17" customFormat="false" ht="15" hidden="false" customHeight="true" outlineLevel="0" collapsed="false">
      <c r="A17" s="7" t="s">
        <v>660</v>
      </c>
      <c r="B17" s="7" t="s">
        <v>757</v>
      </c>
      <c r="C17" s="7" t="s">
        <v>758</v>
      </c>
    </row>
    <row r="18" customFormat="false" ht="23.25" hidden="false" customHeight="true" outlineLevel="0" collapsed="false">
      <c r="A18" s="7" t="s">
        <v>759</v>
      </c>
      <c r="B18" s="7" t="s">
        <v>760</v>
      </c>
      <c r="C18" s="7" t="s">
        <v>761</v>
      </c>
    </row>
    <row r="19" customFormat="false" ht="15" hidden="false" customHeight="true" outlineLevel="0" collapsed="false">
      <c r="A19" s="7" t="s">
        <v>762</v>
      </c>
      <c r="B19" s="7" t="s">
        <v>763</v>
      </c>
      <c r="C19" s="7" t="s">
        <v>659</v>
      </c>
    </row>
    <row r="20" customFormat="false" ht="15" hidden="false" customHeight="true" outlineLevel="0" collapsed="false">
      <c r="A20" s="7" t="s">
        <v>764</v>
      </c>
      <c r="B20" s="7" t="s">
        <v>765</v>
      </c>
      <c r="C20" s="7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80"/>
  </cols>
  <sheetData>
    <row r="1" customFormat="false" ht="30" hidden="false" customHeight="true" outlineLevel="0" collapsed="false">
      <c r="A1" s="5" t="s">
        <v>767</v>
      </c>
      <c r="B1" s="5" t="s">
        <v>768</v>
      </c>
      <c r="C1" s="5" t="s">
        <v>769</v>
      </c>
    </row>
    <row r="2" customFormat="false" ht="23.25" hidden="false" customHeight="true" outlineLevel="0" collapsed="false">
      <c r="A2" s="7" t="n">
        <v>5</v>
      </c>
      <c r="B2" s="7" t="s">
        <v>770</v>
      </c>
      <c r="C2" s="7" t="s">
        <v>771</v>
      </c>
    </row>
    <row r="3" customFormat="false" ht="23.25" hidden="false" customHeight="true" outlineLevel="0" collapsed="false">
      <c r="A3" s="7" t="n">
        <v>4</v>
      </c>
      <c r="B3" s="7" t="s">
        <v>772</v>
      </c>
      <c r="C3" s="7" t="s">
        <v>773</v>
      </c>
    </row>
    <row r="4" customFormat="false" ht="23.25" hidden="false" customHeight="true" outlineLevel="0" collapsed="false">
      <c r="A4" s="7" t="n">
        <v>3</v>
      </c>
      <c r="B4" s="7" t="s">
        <v>774</v>
      </c>
      <c r="C4" s="7" t="s">
        <v>775</v>
      </c>
    </row>
    <row r="5" customFormat="false" ht="15" hidden="false" customHeight="true" outlineLevel="0" collapsed="false">
      <c r="A5" s="7" t="n">
        <v>2</v>
      </c>
      <c r="B5" s="7" t="s">
        <v>776</v>
      </c>
      <c r="C5" s="7" t="s">
        <v>777</v>
      </c>
    </row>
    <row r="6" customFormat="false" ht="23.25" hidden="false" customHeight="true" outlineLevel="0" collapsed="false">
      <c r="A6" s="7" t="n">
        <v>1</v>
      </c>
      <c r="B6" s="7" t="s">
        <v>778</v>
      </c>
      <c r="C6" s="7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2026-04-26T17:41:21Z</dcterms:created>
  <dc:creator>openpyxl</dc:creator>
  <dc:description/>
  <dc:language>en-US</dc:language>
  <cp:lastModifiedBy/>
  <dcterms:modified xsi:type="dcterms:W3CDTF">2026-04-27T03:38:51Z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